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ed P&amp;L" sheetId="1" r:id="rId4"/>
    <sheet state="visible" name="External P&amp;L" sheetId="2" r:id="rId5"/>
    <sheet state="visible" name="MoM Analysis" sheetId="3" r:id="rId6"/>
  </sheets>
  <definedNames/>
  <calcPr/>
  <extLst>
    <ext uri="GoogleSheetsCustomDataVersion2">
      <go:sheetsCustomData xmlns:go="http://customooxmlschemas.google.com/" r:id="rId7" roundtripDataChecksum="Ma/zC3Km4v1Fznb4gn+KKkGMh3RhNRBSGKdS/0yaufI="/>
    </ext>
  </extLst>
</workbook>
</file>

<file path=xl/sharedStrings.xml><?xml version="1.0" encoding="utf-8"?>
<sst xmlns="http://schemas.openxmlformats.org/spreadsheetml/2006/main" count="186" uniqueCount="131">
  <si>
    <t>Company ABC</t>
  </si>
  <si>
    <t>Income Statement</t>
  </si>
  <si>
    <t>March 2023</t>
  </si>
  <si>
    <t>Amount</t>
  </si>
  <si>
    <t>Income</t>
  </si>
  <si>
    <t>4011 - Paid Media Recurring Revenue</t>
  </si>
  <si>
    <t>4012 - Paid Media Variable Revenue</t>
  </si>
  <si>
    <t>4013 - Paid Media Project Revenue</t>
  </si>
  <si>
    <t>4021 - SEO Recurring Revenue</t>
  </si>
  <si>
    <t>4022 - SEO Project Revenue</t>
  </si>
  <si>
    <t>4031 - Design Recurring Revenue</t>
  </si>
  <si>
    <t>4032 - Design Project Revenue</t>
  </si>
  <si>
    <t>4041 - Video Recurring Revenue</t>
  </si>
  <si>
    <t>4042 - Video Project Revenue</t>
  </si>
  <si>
    <t>4051 - Rev Ops Recurring Revenue</t>
  </si>
  <si>
    <t>4052 - Rev Ops Project Revenue</t>
  </si>
  <si>
    <t>4061 - Strategy Project Revenue</t>
  </si>
  <si>
    <t>4099 - Other Revenue</t>
  </si>
  <si>
    <t>Total - Income</t>
  </si>
  <si>
    <t>COGS</t>
  </si>
  <si>
    <t>5000 - COGS - Salaries &amp; Wages</t>
  </si>
  <si>
    <t>5000.1 - COGS - Salaries &amp; Wages - Interns</t>
  </si>
  <si>
    <t>Total - 5000 - COGS - Salaries &amp; Wages</t>
  </si>
  <si>
    <t>5001 - COGS - Payroll Taxes</t>
  </si>
  <si>
    <t>5002 - COGS - Employee Benefits</t>
  </si>
  <si>
    <t>5003 - COGS - 401(k) Employer Match</t>
  </si>
  <si>
    <t>5004 - COGS - Bonus</t>
  </si>
  <si>
    <t>5005 - COGS - Commissions</t>
  </si>
  <si>
    <t>5006 - COGS - Contractors</t>
  </si>
  <si>
    <t>5007 - COGS - Software &amp; Licenses</t>
  </si>
  <si>
    <t>5301 - COGS - T&amp;E</t>
  </si>
  <si>
    <t>5301.1 - COGS - T&amp;E : Hotel</t>
  </si>
  <si>
    <t>5301.2 - COGS - T&amp;E : Transportation</t>
  </si>
  <si>
    <t>Total - 5301 - COGS - T&amp;E</t>
  </si>
  <si>
    <t>Total - COGS</t>
  </si>
  <si>
    <t>Gross Profit</t>
  </si>
  <si>
    <t>Gross Margin</t>
  </si>
  <si>
    <t>Expense</t>
  </si>
  <si>
    <t>6000 - Salaries &amp; Wages</t>
  </si>
  <si>
    <t>6000.1 - Salaries &amp; Wages: Interns</t>
  </si>
  <si>
    <t>Total - 6000 - Salaries &amp; Wages</t>
  </si>
  <si>
    <t>6001 - Payroll Taxes</t>
  </si>
  <si>
    <t>6002 - Employee Benefits</t>
  </si>
  <si>
    <t>6003 - 401(k) Employer Match</t>
  </si>
  <si>
    <t>6004 - Bonus</t>
  </si>
  <si>
    <t>6007 - Severance</t>
  </si>
  <si>
    <t>6100 - Payroll Processing Fees</t>
  </si>
  <si>
    <t>6006 - Commissions</t>
  </si>
  <si>
    <t>6101 - Employee Relations</t>
  </si>
  <si>
    <t>6200 - Contractors</t>
  </si>
  <si>
    <t>6201 - Professional Services</t>
  </si>
  <si>
    <t>7100 - Software &amp; Licenses</t>
  </si>
  <si>
    <t>7101 - Lead Generation Marketing</t>
  </si>
  <si>
    <t>7102 - Brand Marketing</t>
  </si>
  <si>
    <t>7103 - Client Relations</t>
  </si>
  <si>
    <t>7105 - Conferences &amp; Events</t>
  </si>
  <si>
    <t>7000 - Office Supplies</t>
  </si>
  <si>
    <t>7001 - Postage &amp; Delivery</t>
  </si>
  <si>
    <t>7002 - Business Insurance</t>
  </si>
  <si>
    <t>7003 - Rent</t>
  </si>
  <si>
    <t>7004 - Utilities</t>
  </si>
  <si>
    <t>7301 - T&amp;E</t>
  </si>
  <si>
    <t>7301.1 - T&amp;E : Hotel</t>
  </si>
  <si>
    <t>7301.2 - T&amp;E : Transportation</t>
  </si>
  <si>
    <t>7301.3 - T&amp;E : Meals</t>
  </si>
  <si>
    <t>Total - 7301 - T&amp;E</t>
  </si>
  <si>
    <t>7400 - Bank Service Charges</t>
  </si>
  <si>
    <t>7401 - Credit Card Processing</t>
  </si>
  <si>
    <t>7402 - Taxes, Licenses, Fees</t>
  </si>
  <si>
    <t>7404 - Donations</t>
  </si>
  <si>
    <t>Total - Expense</t>
  </si>
  <si>
    <t>EBITDA</t>
  </si>
  <si>
    <t>EBITDA Margin</t>
  </si>
  <si>
    <t>Other Income and Expenses</t>
  </si>
  <si>
    <t>Other Income</t>
  </si>
  <si>
    <t>8000 - Indirect Revenue</t>
  </si>
  <si>
    <t>Total - Other Income</t>
  </si>
  <si>
    <t>Other Expense</t>
  </si>
  <si>
    <t>9000 - Depreciation</t>
  </si>
  <si>
    <t>9002 - S Corp/PTE Taxes</t>
  </si>
  <si>
    <t>Total - Other Expense</t>
  </si>
  <si>
    <t>Net Other Income</t>
  </si>
  <si>
    <t>Net Income</t>
  </si>
  <si>
    <t>Paid Media Revenue</t>
  </si>
  <si>
    <t>SEO Revenue</t>
  </si>
  <si>
    <t>Performance Creative Revenue</t>
  </si>
  <si>
    <t>Video Revenue</t>
  </si>
  <si>
    <t>Rev Ops Revenue</t>
  </si>
  <si>
    <t>Strategy Revenue</t>
  </si>
  <si>
    <t>Other Revenue</t>
  </si>
  <si>
    <t>Total Income</t>
  </si>
  <si>
    <t>COGS Payroll</t>
  </si>
  <si>
    <t>COGS Commissions</t>
  </si>
  <si>
    <t>COGS Contractors</t>
  </si>
  <si>
    <t>COGS Software</t>
  </si>
  <si>
    <t>COGS T&amp;E</t>
  </si>
  <si>
    <t>Total COGS</t>
  </si>
  <si>
    <t>Payroll</t>
  </si>
  <si>
    <t>Employee</t>
  </si>
  <si>
    <t>Commissions</t>
  </si>
  <si>
    <t>Contractors</t>
  </si>
  <si>
    <t>Software</t>
  </si>
  <si>
    <t>Marketing</t>
  </si>
  <si>
    <t>Office</t>
  </si>
  <si>
    <t>T&amp;E</t>
  </si>
  <si>
    <t>Other</t>
  </si>
  <si>
    <t>Total Expense</t>
  </si>
  <si>
    <t>Fav/(Unfav)</t>
  </si>
  <si>
    <t>Change</t>
  </si>
  <si>
    <t>Driver</t>
  </si>
  <si>
    <t>2 new clients, 1 upsell, 1 churn</t>
  </si>
  <si>
    <t>3 new clients, 1 upsell, 1 churn</t>
  </si>
  <si>
    <t>5 new clients, 2 churn</t>
  </si>
  <si>
    <t>2 new projects, wrapped up 1 project</t>
  </si>
  <si>
    <t>1 new client, 1 new project</t>
  </si>
  <si>
    <t>1 new client</t>
  </si>
  <si>
    <t>4 new hires, 1 term</t>
  </si>
  <si>
    <t>Increased client success commission accrual from upsells</t>
  </si>
  <si>
    <t>Work on new projects</t>
  </si>
  <si>
    <t>Standard software cost. Increase ~proportionate to new payroll (new licenses)</t>
  </si>
  <si>
    <t>Standard client facing travel</t>
  </si>
  <si>
    <t>1 new hire, 1 term</t>
  </si>
  <si>
    <t>Standard employee engagement cost</t>
  </si>
  <si>
    <t>Increased sales commission accrual from new wins</t>
  </si>
  <si>
    <t>Ramped up professional services associated with quarter/trimester end</t>
  </si>
  <si>
    <t>Increased marketing budget as new year's strategy starts to yield returns</t>
  </si>
  <si>
    <t>Consistent office costs</t>
  </si>
  <si>
    <t xml:space="preserve">Increased employee engagement travel, non client facing travel </t>
  </si>
  <si>
    <t>Increased tax requests/reconciliations as quarter end approaches</t>
  </si>
  <si>
    <t>Sublease income</t>
  </si>
  <si>
    <t>Depreciation of new laptops as employees onboard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</si>
</sst>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_);\(&quot;$&quot;#,##0\)"/>
    <numFmt numFmtId="165" formatCode="_(* #,##0_);_(* \(#,##0\);_(* &quot;-&quot;??_);_(@_)"/>
    <numFmt numFmtId="166" formatCode="mmmm yyyy"/>
    <numFmt numFmtId="167" formatCode="0.0%"/>
  </numFmts>
  <fonts count="7">
    <font>
      <sz val="12.0"/>
      <color theme="1"/>
      <name val="Calibri"/>
      <scheme val="minor"/>
    </font>
    <font>
      <b/>
      <sz val="14.0"/>
      <color theme="1"/>
      <name val="Calibri"/>
    </font>
    <font>
      <sz val="10.0"/>
      <color theme="1"/>
      <name val="Calibri"/>
    </font>
    <font>
      <b/>
      <sz val="12.0"/>
      <color theme="1"/>
      <name val="Calibri"/>
    </font>
    <font>
      <b/>
      <sz val="10.0"/>
      <color theme="1"/>
      <name val="Calibri"/>
    </font>
    <font>
      <b/>
      <sz val="10.0"/>
      <color rgb="FF000000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FE599"/>
        <bgColor rgb="FFFFE599"/>
      </patternFill>
    </fill>
  </fills>
  <borders count="7">
    <border/>
    <border>
      <left/>
      <right/>
      <top/>
      <bottom/>
    </border>
    <border>
      <top style="dotted">
        <color rgb="FFC0C0C0"/>
      </top>
    </border>
    <border>
      <left/>
      <right/>
      <top style="dotted">
        <color rgb="FF969696"/>
      </top>
      <bottom/>
    </border>
    <border>
      <top style="dotted">
        <color rgb="FF969696"/>
      </top>
    </border>
    <border>
      <bottom style="dotted">
        <color rgb="FFC0C0C0"/>
      </bottom>
    </border>
    <border>
      <bottom style="dotted">
        <color rgb="FF969696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quotePrefix="1" borderId="0" fillId="0" fontId="4" numFmtId="17" xfId="0" applyAlignment="1" applyFont="1" applyNumberFormat="1">
      <alignment horizontal="center"/>
    </xf>
    <xf borderId="1" fillId="2" fontId="4" numFmtId="0" xfId="0" applyAlignment="1" applyBorder="1" applyFill="1" applyFont="1">
      <alignment horizontal="left"/>
    </xf>
    <xf borderId="1" fillId="2" fontId="4" numFmtId="0" xfId="0" applyAlignment="1" applyBorder="1" applyFont="1">
      <alignment horizontal="right"/>
    </xf>
    <xf borderId="0" fillId="0" fontId="5" numFmtId="0" xfId="0" applyAlignment="1" applyFont="1">
      <alignment horizontal="left"/>
    </xf>
    <xf borderId="0" fillId="0" fontId="5" numFmtId="164" xfId="0" applyAlignment="1" applyFont="1" applyNumberFormat="1">
      <alignment horizontal="right" vertical="center"/>
    </xf>
    <xf borderId="0" fillId="0" fontId="6" numFmtId="49" xfId="0" applyAlignment="1" applyFont="1" applyNumberFormat="1">
      <alignment horizontal="left"/>
    </xf>
    <xf borderId="0" fillId="0" fontId="6" numFmtId="164" xfId="0" applyAlignment="1" applyFont="1" applyNumberFormat="1">
      <alignment horizontal="right" vertical="center"/>
    </xf>
    <xf borderId="0" fillId="0" fontId="6" numFmtId="165" xfId="0" applyAlignment="1" applyFont="1" applyNumberFormat="1">
      <alignment horizontal="right" vertical="center"/>
    </xf>
    <xf borderId="2" fillId="0" fontId="5" numFmtId="0" xfId="0" applyAlignment="1" applyBorder="1" applyFont="1">
      <alignment horizontal="left"/>
    </xf>
    <xf borderId="2" fillId="0" fontId="5" numFmtId="164" xfId="0" applyAlignment="1" applyBorder="1" applyFont="1" applyNumberFormat="1">
      <alignment horizontal="right" vertical="center"/>
    </xf>
    <xf borderId="0" fillId="0" fontId="6" numFmtId="49" xfId="0" applyAlignment="1" applyFont="1" applyNumberFormat="1">
      <alignment horizontal="left"/>
    </xf>
    <xf borderId="0" fillId="0" fontId="5" numFmtId="49" xfId="0" applyAlignment="1" applyFont="1" applyNumberFormat="1">
      <alignment horizontal="left"/>
    </xf>
    <xf borderId="2" fillId="0" fontId="5" numFmtId="165" xfId="0" applyAlignment="1" applyBorder="1" applyFont="1" applyNumberFormat="1">
      <alignment horizontal="right" vertical="center"/>
    </xf>
    <xf borderId="3" fillId="3" fontId="5" numFmtId="0" xfId="0" applyAlignment="1" applyBorder="1" applyFill="1" applyFont="1">
      <alignment horizontal="left"/>
    </xf>
    <xf borderId="3" fillId="3" fontId="5" numFmtId="164" xfId="0" applyAlignment="1" applyBorder="1" applyFont="1" applyNumberFormat="1">
      <alignment horizontal="right" vertical="center"/>
    </xf>
    <xf borderId="3" fillId="3" fontId="5" numFmtId="9" xfId="0" applyAlignment="1" applyBorder="1" applyFont="1" applyNumberFormat="1">
      <alignment horizontal="right" vertical="center"/>
    </xf>
    <xf borderId="0" fillId="0" fontId="2" numFmtId="0" xfId="0" applyAlignment="1" applyFont="1">
      <alignment readingOrder="0"/>
    </xf>
    <xf borderId="0" fillId="0" fontId="5" numFmtId="165" xfId="0" applyAlignment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2" fillId="0" fontId="5" numFmtId="0" xfId="0" applyAlignment="1" applyBorder="1" applyFont="1">
      <alignment horizontal="left" readingOrder="0"/>
    </xf>
    <xf borderId="0" fillId="0" fontId="6" numFmtId="164" xfId="0" applyAlignment="1" applyFont="1" applyNumberFormat="1">
      <alignment horizontal="right" readingOrder="0" vertical="center"/>
    </xf>
    <xf borderId="4" fillId="0" fontId="5" numFmtId="0" xfId="0" applyAlignment="1" applyBorder="1" applyFont="1">
      <alignment horizontal="left" vertical="center"/>
    </xf>
    <xf borderId="4" fillId="0" fontId="5" numFmtId="164" xfId="0" applyAlignment="1" applyBorder="1" applyFont="1" applyNumberFormat="1">
      <alignment horizontal="right" vertical="center"/>
    </xf>
    <xf borderId="0" fillId="0" fontId="6" numFmtId="0" xfId="0" applyAlignment="1" applyFont="1">
      <alignment horizontal="left"/>
    </xf>
    <xf borderId="0" fillId="0" fontId="2" numFmtId="164" xfId="0" applyFont="1" applyNumberFormat="1"/>
    <xf borderId="0" fillId="0" fontId="2" numFmtId="0" xfId="0" applyAlignment="1" applyFont="1">
      <alignment vertical="bottom"/>
    </xf>
    <xf borderId="0" fillId="0" fontId="2" numFmtId="0" xfId="0" applyFont="1"/>
    <xf borderId="0" fillId="2" fontId="2" numFmtId="0" xfId="0" applyAlignment="1" applyFont="1">
      <alignment vertical="bottom"/>
    </xf>
    <xf borderId="0" fillId="2" fontId="4" numFmtId="166" xfId="0" applyAlignment="1" applyFont="1" applyNumberFormat="1">
      <alignment horizontal="center" vertical="bottom"/>
    </xf>
    <xf borderId="0" fillId="2" fontId="4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/>
    </xf>
    <xf borderId="0" fillId="0" fontId="2" numFmtId="167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/>
    </xf>
    <xf borderId="5" fillId="0" fontId="2" numFmtId="165" xfId="0" applyAlignment="1" applyBorder="1" applyFont="1" applyNumberFormat="1">
      <alignment horizontal="right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/>
    </xf>
    <xf borderId="0" fillId="0" fontId="4" numFmtId="167" xfId="0" applyAlignment="1" applyFont="1" applyNumberFormat="1">
      <alignment horizontal="right" vertical="bottom"/>
    </xf>
    <xf borderId="0" fillId="0" fontId="2" numFmtId="167" xfId="0" applyAlignment="1" applyFont="1" applyNumberFormat="1">
      <alignment vertical="bottom"/>
    </xf>
    <xf borderId="6" fillId="0" fontId="4" numFmtId="0" xfId="0" applyAlignment="1" applyBorder="1" applyFont="1">
      <alignment vertical="bottom"/>
    </xf>
    <xf borderId="6" fillId="0" fontId="2" numFmtId="164" xfId="0" applyBorder="1" applyFont="1" applyNumberFormat="1"/>
    <xf borderId="0" fillId="3" fontId="4" numFmtId="0" xfId="0" applyAlignment="1" applyFont="1">
      <alignment vertical="bottom"/>
    </xf>
    <xf borderId="0" fillId="3" fontId="4" numFmtId="164" xfId="0" applyAlignment="1" applyFont="1" applyNumberFormat="1">
      <alignment horizontal="right"/>
    </xf>
    <xf borderId="0" fillId="3" fontId="4" numFmtId="167" xfId="0" applyAlignment="1" applyFont="1" applyNumberFormat="1">
      <alignment horizontal="right" vertical="bottom"/>
    </xf>
    <xf borderId="0" fillId="3" fontId="4" numFmtId="9" xfId="0" applyAlignment="1" applyFont="1" applyNumberFormat="1">
      <alignment horizontal="right"/>
    </xf>
    <xf borderId="0" fillId="3" fontId="2" numFmtId="167" xfId="0" applyAlignment="1" applyFont="1" applyNumberFormat="1">
      <alignment vertical="bottom"/>
    </xf>
    <xf borderId="6" fillId="0" fontId="2" numFmtId="165" xfId="0" applyAlignment="1" applyBorder="1" applyFont="1" applyNumberFormat="1">
      <alignment horizontal="right"/>
    </xf>
    <xf borderId="6" fillId="0" fontId="4" numFmtId="0" xfId="0" applyBorder="1" applyFont="1"/>
    <xf borderId="6" fillId="0" fontId="4" numFmtId="164" xfId="0" applyAlignment="1" applyBorder="1" applyFont="1" applyNumberFormat="1">
      <alignment horizontal="right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35.33"/>
    <col customWidth="1" min="2" max="6" width="10.78"/>
    <col customWidth="1" min="7" max="26" width="10.56"/>
  </cols>
  <sheetData>
    <row r="1" ht="13.5" customHeight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5"/>
      <c r="B4" s="6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7" t="s">
        <v>4</v>
      </c>
      <c r="B5" s="8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9" t="s">
        <v>5</v>
      </c>
      <c r="B6" s="10">
        <v>950000.0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9" t="s">
        <v>6</v>
      </c>
      <c r="B7" s="11">
        <v>100000.0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9" t="s">
        <v>7</v>
      </c>
      <c r="B8" s="11">
        <v>80000.0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9" t="s">
        <v>8</v>
      </c>
      <c r="B9" s="11">
        <v>650000.0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9" t="s">
        <v>9</v>
      </c>
      <c r="B10" s="11">
        <v>75000.0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9" t="s">
        <v>10</v>
      </c>
      <c r="B11" s="11">
        <v>180000.0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9" t="s">
        <v>11</v>
      </c>
      <c r="B12" s="11">
        <v>65000.0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9" t="s">
        <v>12</v>
      </c>
      <c r="B13" s="11">
        <v>40000.0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9" t="s">
        <v>13</v>
      </c>
      <c r="B14" s="11">
        <v>95000.0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9" t="s">
        <v>14</v>
      </c>
      <c r="B15" s="11">
        <v>40000.0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9" t="s">
        <v>15</v>
      </c>
      <c r="B16" s="11">
        <v>65000.0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9" t="s">
        <v>16</v>
      </c>
      <c r="B17" s="11">
        <v>100000.0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9" t="s">
        <v>17</v>
      </c>
      <c r="B18" s="11">
        <v>5000.0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12" t="s">
        <v>18</v>
      </c>
      <c r="B19" s="13">
        <f>SUM(B6:B18)</f>
        <v>2445000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7"/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7" t="s">
        <v>19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9" t="s">
        <v>20</v>
      </c>
      <c r="B22" s="10">
        <v>750000.0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14" t="s">
        <v>21</v>
      </c>
      <c r="B23" s="11">
        <v>15000.0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15" t="s">
        <v>22</v>
      </c>
      <c r="B24" s="16">
        <v>765000.0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9" t="s">
        <v>23</v>
      </c>
      <c r="B25" s="11">
        <v>75000.0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9" t="s">
        <v>24</v>
      </c>
      <c r="B26" s="11">
        <v>70000.0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9" t="s">
        <v>25</v>
      </c>
      <c r="B27" s="11">
        <v>25000.0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9" t="s">
        <v>26</v>
      </c>
      <c r="B28" s="11">
        <v>45000.0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9" t="s">
        <v>27</v>
      </c>
      <c r="B29" s="11">
        <v>20000.0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9" t="s">
        <v>28</v>
      </c>
      <c r="B30" s="11">
        <v>25000.0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9" t="s">
        <v>29</v>
      </c>
      <c r="B31" s="11">
        <v>65000.0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9" t="s">
        <v>30</v>
      </c>
      <c r="B32" s="1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14" t="s">
        <v>31</v>
      </c>
      <c r="B33" s="11">
        <v>6000.0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14" t="s">
        <v>32</v>
      </c>
      <c r="B34" s="11">
        <v>10000.0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15" t="s">
        <v>33</v>
      </c>
      <c r="B35" s="16">
        <v>16000.0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12" t="s">
        <v>34</v>
      </c>
      <c r="B36" s="13">
        <f>SUM(B24,B25:B31,B35)</f>
        <v>1106000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7"/>
      <c r="B37" s="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17" t="s">
        <v>35</v>
      </c>
      <c r="B38" s="18">
        <f>B19-B36</f>
        <v>1339000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17" t="s">
        <v>36</v>
      </c>
      <c r="B39" s="19">
        <f>B38/B19</f>
        <v>0.5476482618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7"/>
      <c r="B40" s="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7" t="s">
        <v>37</v>
      </c>
      <c r="B41" s="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9" t="s">
        <v>38</v>
      </c>
      <c r="B42" s="10">
        <v>500000.0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14" t="s">
        <v>39</v>
      </c>
      <c r="B43" s="11">
        <v>5000.0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15" t="s">
        <v>40</v>
      </c>
      <c r="B44" s="16">
        <v>505000.0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9" t="s">
        <v>41</v>
      </c>
      <c r="B45" s="11">
        <v>49000.0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9" t="s">
        <v>42</v>
      </c>
      <c r="B46" s="11">
        <v>45000.0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9" t="s">
        <v>43</v>
      </c>
      <c r="B47" s="11">
        <v>15000.0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9" t="s">
        <v>44</v>
      </c>
      <c r="B48" s="11">
        <v>25000.0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9" t="s">
        <v>45</v>
      </c>
      <c r="B49" s="11">
        <v>20000.0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9" t="s">
        <v>46</v>
      </c>
      <c r="B50" s="11">
        <v>10000.0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9" t="s">
        <v>47</v>
      </c>
      <c r="B51" s="11">
        <v>35000.0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9" t="s">
        <v>48</v>
      </c>
      <c r="B52" s="11">
        <v>7000.0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9" t="s">
        <v>49</v>
      </c>
      <c r="B53" s="11">
        <v>10000.0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9" t="s">
        <v>50</v>
      </c>
      <c r="B54" s="11">
        <v>50000.0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9" t="s">
        <v>51</v>
      </c>
      <c r="B55" s="11">
        <v>65000.0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9" t="s">
        <v>52</v>
      </c>
      <c r="B56" s="11">
        <v>200000.0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9" t="s">
        <v>53</v>
      </c>
      <c r="B57" s="11">
        <v>20000.0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9" t="s">
        <v>54</v>
      </c>
      <c r="B58" s="11">
        <v>3000.0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9" t="s">
        <v>55</v>
      </c>
      <c r="B59" s="11">
        <v>15000.0</v>
      </c>
      <c r="C59" s="2"/>
      <c r="D59" s="2"/>
      <c r="E59" s="2"/>
      <c r="F59" s="2"/>
      <c r="G59" s="20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9" t="s">
        <v>56</v>
      </c>
      <c r="B60" s="11">
        <v>5000.0</v>
      </c>
      <c r="C60" s="2"/>
      <c r="D60" s="2"/>
      <c r="E60" s="2"/>
      <c r="F60" s="2"/>
      <c r="G60" s="20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9" t="s">
        <v>57</v>
      </c>
      <c r="B61" s="11">
        <v>1000.0</v>
      </c>
      <c r="C61" s="2"/>
      <c r="D61" s="2"/>
      <c r="E61" s="2"/>
      <c r="F61" s="20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9" t="s">
        <v>58</v>
      </c>
      <c r="B62" s="11">
        <v>8000.0</v>
      </c>
      <c r="C62" s="2"/>
      <c r="D62" s="2"/>
      <c r="E62" s="2"/>
      <c r="F62" s="20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9" t="s">
        <v>59</v>
      </c>
      <c r="B63" s="11">
        <v>9500.0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9" t="s">
        <v>60</v>
      </c>
      <c r="B64" s="11">
        <v>2000.0</v>
      </c>
      <c r="C64" s="2"/>
      <c r="D64" s="2"/>
      <c r="E64" s="2"/>
      <c r="F64" s="20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9" t="s">
        <v>61</v>
      </c>
      <c r="B65" s="1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14" t="s">
        <v>62</v>
      </c>
      <c r="B66" s="11">
        <v>2000.0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14" t="s">
        <v>63</v>
      </c>
      <c r="B67" s="11">
        <v>7000.0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14" t="s">
        <v>64</v>
      </c>
      <c r="B68" s="11">
        <v>6000.0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15" t="s">
        <v>65</v>
      </c>
      <c r="B69" s="21">
        <v>15000.0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9" t="s">
        <v>66</v>
      </c>
      <c r="B70" s="11">
        <v>2500.0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9" t="s">
        <v>67</v>
      </c>
      <c r="B71" s="11">
        <v>1500.0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9" t="s">
        <v>68</v>
      </c>
      <c r="B72" s="11">
        <v>6000.0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9" t="s">
        <v>69</v>
      </c>
      <c r="B73" s="11">
        <v>4000.0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12" t="s">
        <v>70</v>
      </c>
      <c r="B74" s="13">
        <f>SUM(B44,B45:B64,B69,B70:B73)</f>
        <v>1128500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7"/>
      <c r="B75" s="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17" t="s">
        <v>71</v>
      </c>
      <c r="B76" s="18">
        <f>B38-B74</f>
        <v>210500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17" t="s">
        <v>72</v>
      </c>
      <c r="B77" s="19">
        <f>B76/B19</f>
        <v>0.08609406953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2"/>
      <c r="B78" s="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2" t="s">
        <v>73</v>
      </c>
      <c r="B79" s="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3" t="s">
        <v>74</v>
      </c>
      <c r="B80" s="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9" t="s">
        <v>75</v>
      </c>
      <c r="B81" s="24">
        <v>10000.0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3" t="s">
        <v>76</v>
      </c>
      <c r="B82" s="13">
        <f>SUM(B81)</f>
        <v>10000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7" t="s">
        <v>77</v>
      </c>
      <c r="B83" s="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9" t="s">
        <v>78</v>
      </c>
      <c r="B84" s="10">
        <v>16000.0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9" t="s">
        <v>79</v>
      </c>
      <c r="B85" s="11">
        <v>30000.0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12" t="s">
        <v>80</v>
      </c>
      <c r="B86" s="13">
        <f>SUM(B84:B85)</f>
        <v>46000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5" t="s">
        <v>81</v>
      </c>
      <c r="B87" s="26">
        <f>B82-B86</f>
        <v>-36000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5"/>
      <c r="B88" s="2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5" t="s">
        <v>82</v>
      </c>
      <c r="B89" s="26">
        <f>B76+B87</f>
        <v>174500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3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3.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3.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3.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3.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3.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3.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3.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</sheetData>
  <mergeCells count="3">
    <mergeCell ref="A1:B1"/>
    <mergeCell ref="A2:B2"/>
    <mergeCell ref="A3:B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35.33"/>
    <col customWidth="1" min="2" max="6" width="10.78"/>
    <col customWidth="1" min="7" max="26" width="10.56"/>
  </cols>
  <sheetData>
    <row r="1" ht="13.5" customHeight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5"/>
      <c r="B4" s="6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7" t="s">
        <v>4</v>
      </c>
      <c r="B5" s="8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9" t="s">
        <v>83</v>
      </c>
      <c r="B6" s="10">
        <v>1130000.0</v>
      </c>
      <c r="C6" s="2"/>
      <c r="D6" s="27"/>
      <c r="E6" s="2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9" t="s">
        <v>84</v>
      </c>
      <c r="B7" s="11">
        <v>725000.0</v>
      </c>
      <c r="C7" s="2"/>
      <c r="D7" s="27"/>
      <c r="E7" s="2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9" t="s">
        <v>85</v>
      </c>
      <c r="B8" s="11">
        <v>245000.0</v>
      </c>
      <c r="C8" s="2"/>
      <c r="D8" s="2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9" t="s">
        <v>86</v>
      </c>
      <c r="B9" s="11">
        <v>135000.0</v>
      </c>
      <c r="C9" s="2"/>
      <c r="D9" s="27"/>
      <c r="E9" s="2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9" t="s">
        <v>87</v>
      </c>
      <c r="B10" s="11">
        <v>105000.0</v>
      </c>
      <c r="C10" s="2"/>
      <c r="D10" s="27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9" t="s">
        <v>88</v>
      </c>
      <c r="B11" s="11">
        <v>100000.0</v>
      </c>
      <c r="C11" s="2"/>
      <c r="D11" s="27"/>
      <c r="E11" s="2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9" t="s">
        <v>89</v>
      </c>
      <c r="B12" s="11">
        <v>5000.0</v>
      </c>
      <c r="C12" s="2"/>
      <c r="D12" s="27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23" t="s">
        <v>90</v>
      </c>
      <c r="B13" s="13">
        <f>SUM(B6:B12)</f>
        <v>2445000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7"/>
      <c r="B14" s="8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7" t="s">
        <v>19</v>
      </c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9" t="s">
        <v>91</v>
      </c>
      <c r="B16" s="10">
        <v>980000.0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9" t="s">
        <v>92</v>
      </c>
      <c r="B17" s="11">
        <v>20000.0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9" t="s">
        <v>93</v>
      </c>
      <c r="B18" s="11">
        <v>25000.0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9" t="s">
        <v>94</v>
      </c>
      <c r="B19" s="11">
        <v>65000.0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9" t="s">
        <v>95</v>
      </c>
      <c r="B20" s="11">
        <v>16000.0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3" t="s">
        <v>96</v>
      </c>
      <c r="B21" s="13">
        <f>SUM(B16:B20)</f>
        <v>1106000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7"/>
      <c r="B22" s="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17" t="s">
        <v>35</v>
      </c>
      <c r="B23" s="18">
        <f>B13-B21</f>
        <v>1339000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17" t="s">
        <v>36</v>
      </c>
      <c r="B24" s="19">
        <f>B23/B13</f>
        <v>0.5476482618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7"/>
      <c r="B25" s="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7" t="s">
        <v>37</v>
      </c>
      <c r="B26" s="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9" t="s">
        <v>97</v>
      </c>
      <c r="B27" s="10">
        <v>669000.0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9" t="s">
        <v>98</v>
      </c>
      <c r="B28" s="11">
        <v>7000.0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9" t="s">
        <v>99</v>
      </c>
      <c r="B29" s="11">
        <v>35000.0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9" t="s">
        <v>100</v>
      </c>
      <c r="B30" s="11">
        <v>60000.0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9" t="s">
        <v>101</v>
      </c>
      <c r="B31" s="11">
        <v>65000.0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9" t="s">
        <v>102</v>
      </c>
      <c r="B32" s="11">
        <v>238000.0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9" t="s">
        <v>103</v>
      </c>
      <c r="B33" s="11">
        <v>25500.0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9" t="s">
        <v>104</v>
      </c>
      <c r="B34" s="11">
        <v>15000.0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9" t="s">
        <v>105</v>
      </c>
      <c r="B35" s="11">
        <v>14000.0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3" t="s">
        <v>106</v>
      </c>
      <c r="B36" s="13">
        <f>SUM(B27:B35)</f>
        <v>1128500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7"/>
      <c r="B37" s="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17" t="s">
        <v>71</v>
      </c>
      <c r="B38" s="18">
        <f>B23-B36</f>
        <v>210500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17" t="s">
        <v>72</v>
      </c>
      <c r="B39" s="19">
        <f>B38/B13</f>
        <v>0.08609406953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2"/>
      <c r="B40" s="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2" t="s">
        <v>73</v>
      </c>
      <c r="B41" s="8"/>
      <c r="C41" s="2"/>
      <c r="D41" s="9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9" t="s">
        <v>74</v>
      </c>
      <c r="B42" s="10">
        <v>10000.0</v>
      </c>
      <c r="C42" s="2"/>
      <c r="D42" s="9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9" t="s">
        <v>77</v>
      </c>
      <c r="B43" s="11">
        <v>-46000.0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5" t="s">
        <v>81</v>
      </c>
      <c r="B44" s="26">
        <f>B42+B43</f>
        <v>-36000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5"/>
      <c r="B45" s="26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5" t="s">
        <v>82</v>
      </c>
      <c r="B46" s="26">
        <f>B38+B44</f>
        <v>174500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3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3.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3.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3.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3.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3">
    <mergeCell ref="A1:B1"/>
    <mergeCell ref="A2:B2"/>
    <mergeCell ref="A3:B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23.11"/>
    <col customWidth="1" min="6" max="6" width="57.11"/>
  </cols>
  <sheetData>
    <row r="1">
      <c r="A1" s="29"/>
      <c r="B1" s="1" t="s">
        <v>0</v>
      </c>
      <c r="F1" s="29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29"/>
      <c r="B2" s="3" t="s">
        <v>1</v>
      </c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1"/>
      <c r="B3" s="32">
        <v>44986.0</v>
      </c>
      <c r="C3" s="32">
        <v>44958.0</v>
      </c>
      <c r="D3" s="32" t="s">
        <v>107</v>
      </c>
      <c r="E3" s="33" t="s">
        <v>108</v>
      </c>
      <c r="F3" s="33" t="s">
        <v>109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7" t="s">
        <v>4</v>
      </c>
      <c r="B4" s="28"/>
      <c r="C4" s="29"/>
      <c r="D4" s="29"/>
      <c r="E4" s="29"/>
      <c r="F4" s="29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9" t="s">
        <v>83</v>
      </c>
      <c r="B5" s="34">
        <v>1130000.0</v>
      </c>
      <c r="C5" s="34">
        <v>1103400.0</v>
      </c>
      <c r="D5" s="34">
        <f t="shared" ref="D5:D12" si="1">B5-C5</f>
        <v>26600</v>
      </c>
      <c r="E5" s="35">
        <f t="shared" ref="E5:E12" si="2">B5/C5-1</f>
        <v>0.02410730469</v>
      </c>
      <c r="F5" s="29" t="s">
        <v>110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9" t="s">
        <v>84</v>
      </c>
      <c r="B6" s="36">
        <v>725000.0</v>
      </c>
      <c r="C6" s="36">
        <v>696000.0</v>
      </c>
      <c r="D6" s="36">
        <f t="shared" si="1"/>
        <v>29000</v>
      </c>
      <c r="E6" s="35">
        <f t="shared" si="2"/>
        <v>0.04166666667</v>
      </c>
      <c r="F6" s="29" t="s">
        <v>111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9" t="s">
        <v>85</v>
      </c>
      <c r="B7" s="36">
        <v>245000.0</v>
      </c>
      <c r="C7" s="36">
        <v>237650.0</v>
      </c>
      <c r="D7" s="36">
        <f t="shared" si="1"/>
        <v>7350</v>
      </c>
      <c r="E7" s="35">
        <f t="shared" si="2"/>
        <v>0.03092783505</v>
      </c>
      <c r="F7" s="29" t="s">
        <v>112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9" t="s">
        <v>86</v>
      </c>
      <c r="B8" s="36">
        <v>135000.0</v>
      </c>
      <c r="C8" s="36">
        <v>121500.0</v>
      </c>
      <c r="D8" s="36">
        <f t="shared" si="1"/>
        <v>13500</v>
      </c>
      <c r="E8" s="35">
        <f t="shared" si="2"/>
        <v>0.1111111111</v>
      </c>
      <c r="F8" s="29" t="s">
        <v>113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9" t="s">
        <v>87</v>
      </c>
      <c r="B9" s="36">
        <v>105000.0</v>
      </c>
      <c r="C9" s="36">
        <v>101850.0</v>
      </c>
      <c r="D9" s="36">
        <f t="shared" si="1"/>
        <v>3150</v>
      </c>
      <c r="E9" s="35">
        <f t="shared" si="2"/>
        <v>0.03092783505</v>
      </c>
      <c r="F9" s="29" t="s">
        <v>114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9" t="s">
        <v>88</v>
      </c>
      <c r="B10" s="36">
        <v>100000.0</v>
      </c>
      <c r="C10" s="36">
        <v>75000.0</v>
      </c>
      <c r="D10" s="36">
        <f t="shared" si="1"/>
        <v>25000</v>
      </c>
      <c r="E10" s="35">
        <f t="shared" si="2"/>
        <v>0.3333333333</v>
      </c>
      <c r="F10" s="29" t="s">
        <v>115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9" t="s">
        <v>89</v>
      </c>
      <c r="B11" s="37">
        <v>5000.0</v>
      </c>
      <c r="C11" s="37">
        <v>4950.0</v>
      </c>
      <c r="D11" s="37">
        <f t="shared" si="1"/>
        <v>50</v>
      </c>
      <c r="E11" s="35">
        <f t="shared" si="2"/>
        <v>0.0101010101</v>
      </c>
      <c r="F11" s="29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8" t="s">
        <v>90</v>
      </c>
      <c r="B12" s="39">
        <f t="shared" ref="B12:C12" si="3">SUM(B5:B11)</f>
        <v>2445000</v>
      </c>
      <c r="C12" s="39">
        <f t="shared" si="3"/>
        <v>2340350</v>
      </c>
      <c r="D12" s="39">
        <f t="shared" si="1"/>
        <v>104650</v>
      </c>
      <c r="E12" s="40">
        <f t="shared" si="2"/>
        <v>0.044715534</v>
      </c>
      <c r="F12" s="29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8"/>
      <c r="B13" s="28"/>
      <c r="C13" s="28"/>
      <c r="D13" s="28"/>
      <c r="E13" s="41"/>
      <c r="F13" s="29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8" t="s">
        <v>19</v>
      </c>
      <c r="B14" s="28"/>
      <c r="C14" s="28"/>
      <c r="D14" s="28"/>
      <c r="E14" s="41"/>
      <c r="F14" s="29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9" t="s">
        <v>91</v>
      </c>
      <c r="B15" s="34">
        <v>980000.0</v>
      </c>
      <c r="C15" s="34">
        <v>965000.0</v>
      </c>
      <c r="D15" s="34">
        <f t="shared" ref="D15:D20" si="4">C15-B15</f>
        <v>-15000</v>
      </c>
      <c r="E15" s="35">
        <f t="shared" ref="E15:E20" si="5">B15/C15-1</f>
        <v>0.01554404145</v>
      </c>
      <c r="F15" s="29" t="s">
        <v>116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9" t="s">
        <v>92</v>
      </c>
      <c r="B16" s="36">
        <v>20000.0</v>
      </c>
      <c r="C16" s="36">
        <v>19600.0</v>
      </c>
      <c r="D16" s="36">
        <f t="shared" si="4"/>
        <v>-400</v>
      </c>
      <c r="E16" s="35">
        <f t="shared" si="5"/>
        <v>0.02040816327</v>
      </c>
      <c r="F16" s="29" t="s">
        <v>117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9" t="s">
        <v>93</v>
      </c>
      <c r="B17" s="36">
        <v>25000.0</v>
      </c>
      <c r="C17" s="36">
        <v>20000.0</v>
      </c>
      <c r="D17" s="36">
        <f t="shared" si="4"/>
        <v>-5000</v>
      </c>
      <c r="E17" s="35">
        <f t="shared" si="5"/>
        <v>0.25</v>
      </c>
      <c r="F17" s="29" t="s">
        <v>118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9" t="s">
        <v>94</v>
      </c>
      <c r="B18" s="36">
        <v>65000.0</v>
      </c>
      <c r="C18" s="36">
        <v>64000.0</v>
      </c>
      <c r="D18" s="36">
        <f t="shared" si="4"/>
        <v>-1000</v>
      </c>
      <c r="E18" s="35">
        <f t="shared" si="5"/>
        <v>0.015625</v>
      </c>
      <c r="F18" s="29" t="s">
        <v>119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9" t="s">
        <v>95</v>
      </c>
      <c r="B19" s="37">
        <v>16000.0</v>
      </c>
      <c r="C19" s="37">
        <v>15000.0</v>
      </c>
      <c r="D19" s="37">
        <f t="shared" si="4"/>
        <v>-1000</v>
      </c>
      <c r="E19" s="35">
        <f t="shared" si="5"/>
        <v>0.06666666667</v>
      </c>
      <c r="F19" s="29" t="s">
        <v>120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8" t="s">
        <v>96</v>
      </c>
      <c r="B20" s="39">
        <f t="shared" ref="B20:C20" si="6">SUM(B15:B19)</f>
        <v>1106000</v>
      </c>
      <c r="C20" s="39">
        <f t="shared" si="6"/>
        <v>1083600</v>
      </c>
      <c r="D20" s="39">
        <f t="shared" si="4"/>
        <v>-22400</v>
      </c>
      <c r="E20" s="40">
        <f t="shared" si="5"/>
        <v>0.02067183463</v>
      </c>
      <c r="F20" s="29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42"/>
      <c r="B21" s="43"/>
      <c r="C21" s="43"/>
      <c r="D21" s="43"/>
      <c r="E21" s="41"/>
      <c r="F21" s="2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44" t="s">
        <v>35</v>
      </c>
      <c r="B22" s="45">
        <f t="shared" ref="B22:C22" si="7">B12-B20</f>
        <v>1339000</v>
      </c>
      <c r="C22" s="45">
        <f t="shared" si="7"/>
        <v>1256750</v>
      </c>
      <c r="D22" s="45">
        <f>C22-B22</f>
        <v>-82250</v>
      </c>
      <c r="E22" s="46">
        <f>B22/C22-1</f>
        <v>0.06544658842</v>
      </c>
      <c r="F22" s="29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44" t="s">
        <v>36</v>
      </c>
      <c r="B23" s="47">
        <f t="shared" ref="B23:C23" si="8">B22/B12</f>
        <v>0.5476482618</v>
      </c>
      <c r="C23" s="47">
        <f t="shared" si="8"/>
        <v>0.5369923302</v>
      </c>
      <c r="D23" s="47">
        <f>B23-C23</f>
        <v>0.01065593155</v>
      </c>
      <c r="E23" s="48"/>
      <c r="F23" s="29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8"/>
      <c r="B24" s="28"/>
      <c r="C24" s="28"/>
      <c r="D24" s="28"/>
      <c r="E24" s="41"/>
      <c r="F24" s="29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8" t="s">
        <v>37</v>
      </c>
      <c r="B25" s="28"/>
      <c r="C25" s="28"/>
      <c r="D25" s="28"/>
      <c r="E25" s="41"/>
      <c r="F25" s="29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9" t="s">
        <v>97</v>
      </c>
      <c r="B26" s="34">
        <v>669000.0</v>
      </c>
      <c r="C26" s="34">
        <v>665000.0</v>
      </c>
      <c r="D26" s="34">
        <f t="shared" ref="D26:D34" si="9">C26-B26</f>
        <v>-4000</v>
      </c>
      <c r="E26" s="35">
        <f t="shared" ref="E26:E35" si="10">B26/C26-1</f>
        <v>0.006015037594</v>
      </c>
      <c r="F26" s="29" t="s">
        <v>121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9" t="s">
        <v>98</v>
      </c>
      <c r="B27" s="36">
        <v>7000.0</v>
      </c>
      <c r="C27" s="36">
        <v>7500.0</v>
      </c>
      <c r="D27" s="36">
        <f t="shared" si="9"/>
        <v>500</v>
      </c>
      <c r="E27" s="35">
        <f t="shared" si="10"/>
        <v>-0.06666666667</v>
      </c>
      <c r="F27" s="29" t="s">
        <v>122</v>
      </c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9" t="s">
        <v>99</v>
      </c>
      <c r="B28" s="36">
        <v>35000.0</v>
      </c>
      <c r="C28" s="36">
        <v>33125.0</v>
      </c>
      <c r="D28" s="36">
        <f t="shared" si="9"/>
        <v>-1875</v>
      </c>
      <c r="E28" s="35">
        <f t="shared" si="10"/>
        <v>0.05660377358</v>
      </c>
      <c r="F28" s="29" t="s">
        <v>123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9" t="s">
        <v>100</v>
      </c>
      <c r="B29" s="36">
        <v>60000.0</v>
      </c>
      <c r="C29" s="36">
        <v>50000.0</v>
      </c>
      <c r="D29" s="36">
        <f t="shared" si="9"/>
        <v>-10000</v>
      </c>
      <c r="E29" s="35">
        <f t="shared" si="10"/>
        <v>0.2</v>
      </c>
      <c r="F29" s="29" t="s">
        <v>124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9" t="s">
        <v>101</v>
      </c>
      <c r="B30" s="36">
        <v>65000.0</v>
      </c>
      <c r="C30" s="36">
        <v>64000.0</v>
      </c>
      <c r="D30" s="36">
        <f t="shared" si="9"/>
        <v>-1000</v>
      </c>
      <c r="E30" s="35">
        <f t="shared" si="10"/>
        <v>0.015625</v>
      </c>
      <c r="F30" s="29" t="s">
        <v>119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9" t="s">
        <v>102</v>
      </c>
      <c r="B31" s="36">
        <v>238000.0</v>
      </c>
      <c r="C31" s="36">
        <v>220000.0</v>
      </c>
      <c r="D31" s="36">
        <f t="shared" si="9"/>
        <v>-18000</v>
      </c>
      <c r="E31" s="35">
        <f t="shared" si="10"/>
        <v>0.08181818182</v>
      </c>
      <c r="F31" s="29" t="s">
        <v>125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9" t="s">
        <v>103</v>
      </c>
      <c r="B32" s="36">
        <v>25500.0</v>
      </c>
      <c r="C32" s="36">
        <v>25000.0</v>
      </c>
      <c r="D32" s="36">
        <f t="shared" si="9"/>
        <v>-500</v>
      </c>
      <c r="E32" s="35">
        <f t="shared" si="10"/>
        <v>0.02</v>
      </c>
      <c r="F32" s="29" t="s">
        <v>126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9" t="s">
        <v>104</v>
      </c>
      <c r="B33" s="36">
        <v>15000.0</v>
      </c>
      <c r="C33" s="36">
        <v>10000.0</v>
      </c>
      <c r="D33" s="36">
        <f t="shared" si="9"/>
        <v>-5000</v>
      </c>
      <c r="E33" s="35">
        <f t="shared" si="10"/>
        <v>0.5</v>
      </c>
      <c r="F33" s="29" t="s">
        <v>127</v>
      </c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9" t="s">
        <v>105</v>
      </c>
      <c r="B34" s="37">
        <v>14000.0</v>
      </c>
      <c r="C34" s="37">
        <v>12000.0</v>
      </c>
      <c r="D34" s="37">
        <f t="shared" si="9"/>
        <v>-2000</v>
      </c>
      <c r="E34" s="35">
        <f t="shared" si="10"/>
        <v>0.1666666667</v>
      </c>
      <c r="F34" s="29" t="s">
        <v>128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8" t="s">
        <v>106</v>
      </c>
      <c r="B35" s="39">
        <f t="shared" ref="B35:D35" si="11">SUM(B26:B34)</f>
        <v>1128500</v>
      </c>
      <c r="C35" s="39">
        <f t="shared" si="11"/>
        <v>1086625</v>
      </c>
      <c r="D35" s="39">
        <f t="shared" si="11"/>
        <v>-41875</v>
      </c>
      <c r="E35" s="40">
        <f t="shared" si="10"/>
        <v>0.03853675371</v>
      </c>
      <c r="F35" s="29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42"/>
      <c r="B36" s="43"/>
      <c r="C36" s="43"/>
      <c r="D36" s="43"/>
      <c r="E36" s="41"/>
      <c r="F36" s="29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44" t="s">
        <v>71</v>
      </c>
      <c r="B37" s="45">
        <f t="shared" ref="B37:C37" si="12">B22-B35</f>
        <v>210500</v>
      </c>
      <c r="C37" s="45">
        <f t="shared" si="12"/>
        <v>170125</v>
      </c>
      <c r="D37" s="45">
        <f>C37-B37</f>
        <v>-40375</v>
      </c>
      <c r="E37" s="40">
        <f>B37/C37-1</f>
        <v>0.237325496</v>
      </c>
      <c r="F37" s="29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44" t="s">
        <v>72</v>
      </c>
      <c r="B38" s="47">
        <f t="shared" ref="B38:C38" si="13">B37/B12</f>
        <v>0.08609406953</v>
      </c>
      <c r="C38" s="47">
        <f t="shared" si="13"/>
        <v>0.0726921187</v>
      </c>
      <c r="D38" s="47">
        <f>B38-C38</f>
        <v>0.01340195083</v>
      </c>
      <c r="E38" s="41"/>
      <c r="F38" s="29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28"/>
      <c r="C39" s="28"/>
      <c r="D39" s="28"/>
      <c r="E39" s="41"/>
      <c r="F39" s="29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22" t="s">
        <v>73</v>
      </c>
      <c r="B40" s="28"/>
      <c r="C40" s="28"/>
      <c r="D40" s="28"/>
      <c r="E40" s="41"/>
      <c r="F40" s="29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9" t="s">
        <v>74</v>
      </c>
      <c r="B41" s="34">
        <v>10000.0</v>
      </c>
      <c r="C41" s="34">
        <v>10000.0</v>
      </c>
      <c r="D41" s="34">
        <f>C41-B41</f>
        <v>0</v>
      </c>
      <c r="E41" s="35">
        <f t="shared" ref="E41:E43" si="14">B41/C41-1</f>
        <v>0</v>
      </c>
      <c r="F41" s="29" t="s">
        <v>129</v>
      </c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9" t="s">
        <v>77</v>
      </c>
      <c r="B42" s="49">
        <v>-46000.0</v>
      </c>
      <c r="C42" s="49">
        <v>-45000.0</v>
      </c>
      <c r="D42" s="49">
        <f t="shared" ref="D42:D43" si="16">B42-C42</f>
        <v>-1000</v>
      </c>
      <c r="E42" s="35">
        <f t="shared" si="14"/>
        <v>0.02222222222</v>
      </c>
      <c r="F42" s="29" t="s">
        <v>130</v>
      </c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50" t="s">
        <v>81</v>
      </c>
      <c r="B43" s="51">
        <f t="shared" ref="B43:C43" si="15">B41+B42</f>
        <v>-36000</v>
      </c>
      <c r="C43" s="51">
        <f t="shared" si="15"/>
        <v>-35000</v>
      </c>
      <c r="D43" s="51">
        <f t="shared" si="16"/>
        <v>-1000</v>
      </c>
      <c r="E43" s="40">
        <f t="shared" si="14"/>
        <v>0.02857142857</v>
      </c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50"/>
      <c r="B44" s="51"/>
      <c r="C44" s="51"/>
      <c r="D44" s="51"/>
      <c r="E44" s="29"/>
      <c r="F44" s="2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52" t="s">
        <v>82</v>
      </c>
      <c r="B45" s="39">
        <f t="shared" ref="B45:C45" si="17">B37+B43</f>
        <v>174500</v>
      </c>
      <c r="C45" s="39">
        <f t="shared" si="17"/>
        <v>135125</v>
      </c>
      <c r="D45" s="39">
        <f>B45-C45</f>
        <v>39375</v>
      </c>
      <c r="E45" s="40">
        <f>B45/C45-1</f>
        <v>0.2913968548</v>
      </c>
      <c r="F45" s="29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2">
    <mergeCell ref="B1:E1"/>
    <mergeCell ref="B2:E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2023-04-13T20:09:39Z</dcterms:created>
  <dc:creator>Amber Pierce</dc:creator>
</cp:coreProperties>
</file>