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</sheets>
  <definedNames/>
  <calcPr/>
</workbook>
</file>

<file path=xl/sharedStrings.xml><?xml version="1.0" encoding="utf-8"?>
<sst xmlns="http://schemas.openxmlformats.org/spreadsheetml/2006/main" count="247" uniqueCount="115">
  <si>
    <t>Growth</t>
  </si>
  <si>
    <t>Retention</t>
  </si>
  <si>
    <t>Financials</t>
  </si>
  <si>
    <t>Operations</t>
  </si>
  <si>
    <t>Previous</t>
  </si>
  <si>
    <t>Current</t>
  </si>
  <si>
    <t>Goal</t>
  </si>
  <si>
    <t>New Biz N. America</t>
  </si>
  <si>
    <t>Contract Renewal Rate</t>
  </si>
  <si>
    <t>Gross Margin</t>
  </si>
  <si>
    <t>PM Utilization</t>
  </si>
  <si>
    <t>New Biz International</t>
  </si>
  <si>
    <t>Bookings Renewal Rate</t>
  </si>
  <si>
    <t>EBITDA Margin</t>
  </si>
  <si>
    <t>SEO Utilization</t>
  </si>
  <si>
    <t>Client Partnerships</t>
  </si>
  <si>
    <t>Opt-Out Contract Retained Rate</t>
  </si>
  <si>
    <t>N/A</t>
  </si>
  <si>
    <t>Creative Utilization</t>
  </si>
  <si>
    <t>Total Bookings</t>
  </si>
  <si>
    <t>Opt-Out Bookings Retained Rate</t>
  </si>
  <si>
    <t>TTM Revenue/FTE</t>
  </si>
  <si>
    <t>Rev Ops Utilizaiton</t>
  </si>
  <si>
    <t>Strategy Utilization</t>
  </si>
  <si>
    <t>Pod 1</t>
  </si>
  <si>
    <t>PM Monthly Rev Retention</t>
  </si>
  <si>
    <t>Operations % of Rev</t>
  </si>
  <si>
    <t>Total Directive</t>
  </si>
  <si>
    <t>Pod 2</t>
  </si>
  <si>
    <t>SEO Monthly Rev Retention</t>
  </si>
  <si>
    <t>Sales % of Rev</t>
  </si>
  <si>
    <t>Pod 3</t>
  </si>
  <si>
    <t>Design Monthly Rev Retention</t>
  </si>
  <si>
    <t>Marketing % of Rev</t>
  </si>
  <si>
    <t>Paid Media NSM</t>
  </si>
  <si>
    <t>Pod 4</t>
  </si>
  <si>
    <t>Directive Monthly Rev Retention</t>
  </si>
  <si>
    <t>Finance % of Rev</t>
  </si>
  <si>
    <t>SEO NSM</t>
  </si>
  <si>
    <t>Total New Biz</t>
  </si>
  <si>
    <t>People Ops % of Rev</t>
  </si>
  <si>
    <t>General OH % of Rev</t>
  </si>
  <si>
    <t>Intro Close Rate (T3Mo)</t>
  </si>
  <si>
    <t xml:space="preserve">   Proposal Close Rate (T3Mo)</t>
  </si>
  <si>
    <t xml:space="preserve">   LTV</t>
  </si>
  <si>
    <t>CAC</t>
  </si>
  <si>
    <t>LTV:CAC</t>
  </si>
  <si>
    <t>GROWTH</t>
  </si>
  <si>
    <t>Bookings</t>
  </si>
  <si>
    <t>January</t>
  </si>
  <si>
    <t>February</t>
  </si>
  <si>
    <t>March</t>
  </si>
  <si>
    <t>April</t>
  </si>
  <si>
    <t>T1</t>
  </si>
  <si>
    <t>Actuals</t>
  </si>
  <si>
    <t>% to Goal</t>
  </si>
  <si>
    <t>Pods (New Biz only)</t>
  </si>
  <si>
    <t>Pod 4 (International)</t>
  </si>
  <si>
    <t>Total Bookings (New Biz)</t>
  </si>
  <si>
    <t>Intro Calls (Client Count)</t>
  </si>
  <si>
    <t>Intro Close Rate (Trailing 3 mo)</t>
  </si>
  <si>
    <t>Proposals (Client Count)</t>
  </si>
  <si>
    <t>Proposal Close Rate (Trailing 3 mo)</t>
  </si>
  <si>
    <t>Deals Closed</t>
  </si>
  <si>
    <t>LTV</t>
  </si>
  <si>
    <t>LTV:CAC ratio</t>
  </si>
  <si>
    <t>CAC Payback period (Months)</t>
  </si>
  <si>
    <t>RETENTION</t>
  </si>
  <si>
    <t>Renewals &amp; Opt-Outs</t>
  </si>
  <si>
    <t>Contracts Up for Renewal</t>
  </si>
  <si>
    <t>Contracts Renewed</t>
  </si>
  <si>
    <t>Bookings Up for Renewal</t>
  </si>
  <si>
    <t>Existing Bookings Renewed</t>
  </si>
  <si>
    <t>Additional Bookings Renewed</t>
  </si>
  <si>
    <t>Churned Bookings</t>
  </si>
  <si>
    <t>Opt-Out Contracts At Risk</t>
  </si>
  <si>
    <t>Opt-Out Contracts Retained</t>
  </si>
  <si>
    <t>Opt-Out Bookings At Risk</t>
  </si>
  <si>
    <t>Opt-Out Bookings Retained</t>
  </si>
  <si>
    <t>Revenue Retention</t>
  </si>
  <si>
    <t>Paid Media</t>
  </si>
  <si>
    <t>Prior Month Recurring Revenue</t>
  </si>
  <si>
    <t>Current Month Churned Revenue</t>
  </si>
  <si>
    <t>Monthly Retention Rate</t>
  </si>
  <si>
    <t>SEO</t>
  </si>
  <si>
    <t>Design</t>
  </si>
  <si>
    <t>Directive Consulting (Big 3)</t>
  </si>
  <si>
    <t>TTM Revenue Retention</t>
  </si>
  <si>
    <t>Average Customer Life (Years)</t>
  </si>
  <si>
    <r>
      <rPr>
        <rFont val="Arial"/>
        <color rgb="FF1155CC"/>
      </rPr>
      <t>P&amp;L</t>
    </r>
    <r>
      <rPr>
        <rFont val="Arial"/>
        <color theme="1"/>
      </rPr>
      <t xml:space="preserve"> (T1 Growth Model)</t>
    </r>
  </si>
  <si>
    <t>Revenue</t>
  </si>
  <si>
    <t>Gross Profit</t>
  </si>
  <si>
    <t>EBITDA</t>
  </si>
  <si>
    <t>Other</t>
  </si>
  <si>
    <t>Ending Cash</t>
  </si>
  <si>
    <t>Net Change in Cash</t>
  </si>
  <si>
    <t>TTM Revenue</t>
  </si>
  <si>
    <t>Full-time Headcount</t>
  </si>
  <si>
    <t>Revenue/FTE</t>
  </si>
  <si>
    <t>Department Cost as a % of Revenue</t>
  </si>
  <si>
    <t>Sales</t>
  </si>
  <si>
    <t>Marketing</t>
  </si>
  <si>
    <t>Finance</t>
  </si>
  <si>
    <t>People Ops</t>
  </si>
  <si>
    <t>General OH</t>
  </si>
  <si>
    <t>Billable Utilization</t>
  </si>
  <si>
    <t>Creative</t>
  </si>
  <si>
    <t>Rev Ops</t>
  </si>
  <si>
    <t>Strategy</t>
  </si>
  <si>
    <t>Paid Media NSMs</t>
  </si>
  <si>
    <t>Q1</t>
  </si>
  <si>
    <t>% Hitting NSM Goal</t>
  </si>
  <si>
    <t>% Close to NSM Goal</t>
  </si>
  <si>
    <t>% Missing NSM Goal</t>
  </si>
  <si>
    <t>SEO NSMs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</si>
</sst>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0.0%"/>
    <numFmt numFmtId="166" formatCode="&quot;$&quot;#,##0"/>
    <numFmt numFmtId="167" formatCode="0.0"/>
  </numFmts>
  <fonts count="12">
    <font>
      <sz val="10.0"/>
      <color rgb="FF000000"/>
      <name val="Arial"/>
      <scheme val="minor"/>
    </font>
    <font>
      <b/>
      <sz val="36.0"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sz val="18.0"/>
      <color rgb="FF000000"/>
      <name val="Arial"/>
      <scheme val="minor"/>
    </font>
    <font/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3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CCCCCC"/>
      </left>
    </border>
    <border>
      <right style="thin">
        <color rgb="FFCCCCCC"/>
      </right>
    </border>
    <border>
      <left style="thin">
        <color rgb="FFB7B7B7"/>
      </left>
      <top style="thin">
        <color rgb="FF000000"/>
      </top>
      <bottom style="thin">
        <color rgb="FFB7B7B7"/>
      </bottom>
    </border>
    <border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B7B7B7"/>
      </left>
      <top style="thin">
        <color rgb="FF000000"/>
      </top>
    </border>
    <border>
      <top style="thin">
        <color rgb="FF000000"/>
      </top>
    </border>
    <border>
      <right style="thin">
        <color rgb="FFB7B7B7"/>
      </right>
      <top style="thin">
        <color rgb="FF000000"/>
      </top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1" fillId="0" fontId="4" numFmtId="49" xfId="0" applyAlignment="1" applyBorder="1" applyFont="1" applyNumberFormat="1">
      <alignment horizontal="left"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vertical="center"/>
    </xf>
    <xf borderId="1" fillId="0" fontId="6" numFmtId="49" xfId="0" applyAlignment="1" applyBorder="1" applyFont="1" applyNumberFormat="1">
      <alignment horizontal="left" readingOrder="0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4" fillId="0" fontId="2" numFmtId="49" xfId="0" applyAlignment="1" applyBorder="1" applyFont="1" applyNumberFormat="1">
      <alignment readingOrder="0" vertical="center"/>
    </xf>
    <xf borderId="5" fillId="2" fontId="2" numFmtId="9" xfId="0" applyAlignment="1" applyBorder="1" applyFill="1" applyFont="1" applyNumberFormat="1">
      <alignment horizontal="center" vertical="center"/>
    </xf>
    <xf borderId="5" fillId="3" fontId="2" numFmtId="9" xfId="0" applyAlignment="1" applyBorder="1" applyFill="1" applyFont="1" applyNumberFormat="1">
      <alignment horizontal="center" vertical="center"/>
    </xf>
    <xf borderId="6" fillId="0" fontId="2" numFmtId="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vertical="center"/>
    </xf>
    <xf borderId="5" fillId="4" fontId="2" numFmtId="9" xfId="0" applyAlignment="1" applyBorder="1" applyFill="1" applyFont="1" applyNumberFormat="1">
      <alignment horizontal="center" vertical="center"/>
    </xf>
    <xf borderId="5" fillId="2" fontId="2" numFmtId="165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readingOrder="0"/>
    </xf>
    <xf borderId="8" fillId="2" fontId="2" numFmtId="165" xfId="0" applyAlignment="1" applyBorder="1" applyFont="1" applyNumberFormat="1">
      <alignment horizontal="center"/>
    </xf>
    <xf borderId="9" fillId="0" fontId="2" numFmtId="165" xfId="0" applyAlignment="1" applyBorder="1" applyFont="1" applyNumberFormat="1">
      <alignment horizontal="center"/>
    </xf>
    <xf borderId="10" fillId="0" fontId="2" numFmtId="49" xfId="0" applyAlignment="1" applyBorder="1" applyFont="1" applyNumberFormat="1">
      <alignment readingOrder="0" vertical="center"/>
    </xf>
    <xf borderId="0" fillId="4" fontId="2" numFmtId="9" xfId="0" applyAlignment="1" applyFont="1" applyNumberFormat="1">
      <alignment horizontal="center" vertical="center"/>
    </xf>
    <xf borderId="0" fillId="2" fontId="2" numFmtId="9" xfId="0" applyAlignment="1" applyFont="1" applyNumberFormat="1">
      <alignment horizontal="center" vertical="center"/>
    </xf>
    <xf borderId="11" fillId="0" fontId="2" numFmtId="9" xfId="0" applyAlignment="1" applyBorder="1" applyFont="1" applyNumberFormat="1">
      <alignment horizontal="center" readingOrder="0" vertical="center"/>
    </xf>
    <xf borderId="0" fillId="4" fontId="2" numFmtId="165" xfId="0" applyAlignment="1" applyFont="1" applyNumberFormat="1">
      <alignment horizontal="center" vertical="center"/>
    </xf>
    <xf borderId="0" fillId="3" fontId="2" numFmtId="165" xfId="0" applyAlignment="1" applyFont="1" applyNumberForma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readingOrder="0" vertical="center"/>
    </xf>
    <xf borderId="0" fillId="4" fontId="2" numFmtId="165" xfId="0" applyAlignment="1" applyFont="1" applyNumberFormat="1">
      <alignment horizontal="center"/>
    </xf>
    <xf borderId="0" fillId="2" fontId="2" numFmtId="165" xfId="0" applyAlignment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0" fillId="0" fontId="2" numFmtId="49" xfId="0" applyAlignment="1" applyBorder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11" fillId="0" fontId="2" numFmtId="0" xfId="0" applyAlignment="1" applyBorder="1" applyFont="1">
      <alignment vertical="center"/>
    </xf>
    <xf borderId="0" fillId="3" fontId="2" numFmtId="165" xfId="0" applyAlignment="1" applyFont="1" applyNumberFormat="1">
      <alignment horizontal="center"/>
    </xf>
    <xf borderId="14" fillId="0" fontId="7" numFmtId="49" xfId="0" applyAlignment="1" applyBorder="1" applyFont="1" applyNumberFormat="1">
      <alignment readingOrder="0" vertical="center"/>
    </xf>
    <xf borderId="15" fillId="3" fontId="7" numFmtId="9" xfId="0" applyAlignment="1" applyBorder="1" applyFont="1" applyNumberFormat="1">
      <alignment horizontal="center" vertical="center"/>
    </xf>
    <xf borderId="15" fillId="2" fontId="7" numFmtId="9" xfId="0" applyAlignment="1" applyBorder="1" applyFont="1" applyNumberFormat="1">
      <alignment horizontal="center" vertical="center"/>
    </xf>
    <xf borderId="16" fillId="0" fontId="7" numFmtId="9" xfId="0" applyAlignment="1" applyBorder="1" applyFont="1" applyNumberFormat="1">
      <alignment horizontal="center" readingOrder="0" vertical="center"/>
    </xf>
    <xf borderId="0" fillId="2" fontId="2" numFmtId="166" xfId="0" applyAlignment="1" applyFont="1" applyNumberFormat="1">
      <alignment horizontal="center" vertical="center"/>
    </xf>
    <xf borderId="0" fillId="3" fontId="2" numFmtId="166" xfId="0" applyAlignment="1" applyFont="1" applyNumberFormat="1">
      <alignment horizontal="center" vertical="center"/>
    </xf>
    <xf borderId="11" fillId="0" fontId="2" numFmtId="166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2" fontId="2" numFmtId="165" xfId="0" applyAlignment="1" applyFont="1" applyNumberFormat="1">
      <alignment horizontal="center" vertical="center"/>
    </xf>
    <xf borderId="17" fillId="0" fontId="7" numFmtId="0" xfId="0" applyAlignment="1" applyBorder="1" applyFont="1">
      <alignment readingOrder="0" vertical="center"/>
    </xf>
    <xf borderId="18" fillId="2" fontId="7" numFmtId="165" xfId="0" applyAlignment="1" applyBorder="1" applyFont="1" applyNumberFormat="1">
      <alignment horizontal="center"/>
    </xf>
    <xf borderId="18" fillId="3" fontId="7" numFmtId="165" xfId="0" applyAlignment="1" applyBorder="1" applyFont="1" applyNumberFormat="1">
      <alignment horizontal="center"/>
    </xf>
    <xf borderId="19" fillId="0" fontId="7" numFmtId="165" xfId="0" applyAlignment="1" applyBorder="1" applyFont="1" applyNumberFormat="1">
      <alignment horizontal="center"/>
    </xf>
    <xf borderId="0" fillId="2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5" fillId="0" fontId="2" numFmtId="0" xfId="0" applyAlignment="1" applyBorder="1" applyFont="1">
      <alignment horizontal="center" readingOrder="0" vertical="center"/>
    </xf>
    <xf borderId="20" fillId="0" fontId="7" numFmtId="49" xfId="0" applyAlignment="1" applyBorder="1" applyFont="1" applyNumberFormat="1">
      <alignment readingOrder="0" vertical="center"/>
    </xf>
    <xf borderId="21" fillId="2" fontId="7" numFmtId="165" xfId="0" applyAlignment="1" applyBorder="1" applyFont="1" applyNumberFormat="1">
      <alignment horizontal="center" vertical="center"/>
    </xf>
    <xf borderId="21" fillId="3" fontId="7" numFmtId="165" xfId="0" applyAlignment="1" applyBorder="1" applyFont="1" applyNumberFormat="1">
      <alignment horizontal="center" vertical="center"/>
    </xf>
    <xf borderId="22" fillId="0" fontId="7" numFmtId="165" xfId="0" applyAlignment="1" applyBorder="1" applyFont="1" applyNumberFormat="1">
      <alignment horizontal="center" vertical="center"/>
    </xf>
    <xf borderId="0" fillId="4" fontId="2" numFmtId="165" xfId="0" applyAlignment="1" applyFont="1" applyNumberFormat="1">
      <alignment horizontal="center" readingOrder="0" vertical="center"/>
    </xf>
    <xf borderId="23" fillId="0" fontId="2" numFmtId="49" xfId="0" applyAlignment="1" applyBorder="1" applyFont="1" applyNumberFormat="1">
      <alignment readingOrder="0" vertical="center"/>
    </xf>
    <xf borderId="24" fillId="0" fontId="2" numFmtId="0" xfId="0" applyAlignment="1" applyBorder="1" applyFont="1">
      <alignment horizontal="center" readingOrder="0" vertical="center"/>
    </xf>
    <xf borderId="24" fillId="4" fontId="2" numFmtId="9" xfId="0" applyAlignment="1" applyBorder="1" applyFont="1" applyNumberFormat="1">
      <alignment horizontal="center" readingOrder="0" vertical="center"/>
    </xf>
    <xf borderId="25" fillId="0" fontId="2" numFmtId="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vertical="center"/>
    </xf>
    <xf borderId="0" fillId="3" fontId="2" numFmtId="165" xfId="0" applyAlignment="1" applyFont="1" applyNumberFormat="1">
      <alignment horizontal="center" readingOrder="0" vertical="center"/>
    </xf>
    <xf borderId="24" fillId="2" fontId="2" numFmtId="165" xfId="0" applyAlignment="1" applyBorder="1" applyFont="1" applyNumberFormat="1">
      <alignment horizontal="center" readingOrder="0" vertical="center"/>
    </xf>
    <xf borderId="25" fillId="0" fontId="2" numFmtId="165" xfId="0" applyAlignment="1" applyBorder="1" applyFont="1" applyNumberFormat="1">
      <alignment horizontal="center" vertical="center"/>
    </xf>
    <xf borderId="7" fillId="0" fontId="2" numFmtId="49" xfId="0" applyAlignment="1" applyBorder="1" applyFont="1" applyNumberFormat="1">
      <alignment readingOrder="0" vertical="center"/>
    </xf>
    <xf borderId="8" fillId="3" fontId="2" numFmtId="165" xfId="0" applyAlignment="1" applyBorder="1" applyFont="1" applyNumberFormat="1">
      <alignment horizontal="center" vertical="center"/>
    </xf>
    <xf borderId="8" fillId="2" fontId="2" numFmtId="165" xfId="0" applyAlignment="1" applyBorder="1" applyFont="1" applyNumberFormat="1">
      <alignment horizontal="center" vertical="center"/>
    </xf>
    <xf borderId="9" fillId="0" fontId="2" numFmtId="165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readingOrder="0"/>
    </xf>
    <xf borderId="0" fillId="3" fontId="9" numFmtId="165" xfId="0" applyAlignment="1" applyFont="1" applyNumberFormat="1">
      <alignment horizontal="center"/>
    </xf>
    <xf borderId="0" fillId="2" fontId="9" numFmtId="165" xfId="0" applyAlignment="1" applyFont="1" applyNumberFormat="1">
      <alignment horizontal="center"/>
    </xf>
    <xf borderId="13" fillId="0" fontId="9" numFmtId="165" xfId="0" applyAlignment="1" applyBorder="1" applyFont="1" applyNumberFormat="1">
      <alignment horizontal="center"/>
    </xf>
    <xf borderId="12" fillId="0" fontId="9" numFmtId="0" xfId="0" applyBorder="1" applyFont="1"/>
    <xf borderId="0" fillId="4" fontId="9" numFmtId="166" xfId="0" applyAlignment="1" applyFont="1" applyNumberFormat="1">
      <alignment horizontal="center"/>
    </xf>
    <xf borderId="13" fillId="0" fontId="9" numFmtId="166" xfId="0" applyAlignment="1" applyBorder="1" applyFont="1" applyNumberFormat="1">
      <alignment horizontal="center" readingOrder="0"/>
    </xf>
    <xf borderId="12" fillId="0" fontId="9" numFmtId="49" xfId="0" applyBorder="1" applyFont="1" applyNumberFormat="1"/>
    <xf borderId="13" fillId="0" fontId="9" numFmtId="166" xfId="0" applyAlignment="1" applyBorder="1" applyFont="1" applyNumberFormat="1">
      <alignment horizontal="center"/>
    </xf>
    <xf borderId="26" fillId="0" fontId="2" numFmtId="49" xfId="0" applyAlignment="1" applyBorder="1" applyFont="1" applyNumberFormat="1">
      <alignment readingOrder="0" vertical="center"/>
    </xf>
    <xf borderId="27" fillId="3" fontId="2" numFmtId="4" xfId="0" applyAlignment="1" applyBorder="1" applyFont="1" applyNumberFormat="1">
      <alignment horizontal="center" readingOrder="0" vertical="center"/>
    </xf>
    <xf borderId="27" fillId="4" fontId="2" numFmtId="4" xfId="0" applyAlignment="1" applyBorder="1" applyFont="1" applyNumberFormat="1">
      <alignment horizontal="center" readingOrder="0" vertical="center"/>
    </xf>
    <xf borderId="28" fillId="0" fontId="2" numFmtId="4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/>
    </xf>
    <xf borderId="29" fillId="0" fontId="10" numFmtId="0" xfId="0" applyAlignment="1" applyBorder="1" applyFont="1">
      <alignment horizontal="center" readingOrder="0"/>
    </xf>
    <xf borderId="21" fillId="0" fontId="5" numFmtId="0" xfId="0" applyBorder="1" applyFont="1"/>
    <xf borderId="30" fillId="0" fontId="5" numFmtId="0" xfId="0" applyBorder="1" applyFont="1"/>
    <xf borderId="31" fillId="0" fontId="7" numFmtId="0" xfId="0" applyAlignment="1" applyBorder="1" applyFont="1">
      <alignment horizontal="center" readingOrder="0"/>
    </xf>
    <xf borderId="32" fillId="0" fontId="7" numFmtId="0" xfId="0" applyAlignment="1" applyBorder="1" applyFont="1">
      <alignment horizontal="center" readingOrder="0"/>
    </xf>
    <xf borderId="33" fillId="5" fontId="7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3" fontId="2" numFmtId="9" xfId="0" applyFont="1" applyNumberFormat="1"/>
    <xf borderId="0" fillId="2" fontId="2" numFmtId="9" xfId="0" applyFont="1" applyNumberFormat="1"/>
    <xf borderId="0" fillId="0" fontId="2" numFmtId="166" xfId="0" applyFont="1" applyNumberFormat="1"/>
    <xf borderId="0" fillId="0" fontId="2" numFmtId="9" xfId="0" applyFont="1" applyNumberFormat="1"/>
    <xf borderId="0" fillId="4" fontId="2" numFmtId="9" xfId="0" applyFont="1" applyNumberFormat="1"/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21" fillId="0" fontId="7" numFmtId="0" xfId="0" applyAlignment="1" applyBorder="1" applyFont="1">
      <alignment readingOrder="0"/>
    </xf>
    <xf borderId="21" fillId="0" fontId="7" numFmtId="166" xfId="0" applyBorder="1" applyFont="1" applyNumberFormat="1"/>
    <xf borderId="21" fillId="2" fontId="7" numFmtId="9" xfId="0" applyBorder="1" applyFont="1" applyNumberFormat="1"/>
    <xf borderId="21" fillId="3" fontId="7" numFmtId="9" xfId="0" applyBorder="1" applyFont="1" applyNumberFormat="1"/>
    <xf borderId="21" fillId="0" fontId="7" numFmtId="9" xfId="0" applyBorder="1" applyFont="1" applyNumberFormat="1"/>
    <xf borderId="34" fillId="0" fontId="7" numFmtId="0" xfId="0" applyAlignment="1" applyBorder="1" applyFont="1">
      <alignment horizontal="center" readingOrder="0"/>
    </xf>
    <xf borderId="34" fillId="5" fontId="7" numFmtId="0" xfId="0" applyAlignment="1" applyBorder="1" applyFont="1">
      <alignment horizontal="center" readingOrder="0"/>
    </xf>
    <xf borderId="0" fillId="0" fontId="7" numFmtId="0" xfId="0" applyFont="1"/>
    <xf borderId="0" fillId="4" fontId="7" numFmtId="165" xfId="0" applyFont="1" applyNumberFormat="1"/>
    <xf borderId="0" fillId="3" fontId="7" numFmtId="165" xfId="0" applyFont="1" applyNumberFormat="1"/>
    <xf borderId="0" fillId="2" fontId="7" numFmtId="165" xfId="0" applyFont="1" applyNumberFormat="1"/>
    <xf borderId="0" fillId="0" fontId="7" numFmtId="165" xfId="0" applyFont="1" applyNumberFormat="1"/>
    <xf borderId="0" fillId="5" fontId="7" numFmtId="165" xfId="0" applyAlignment="1" applyFont="1" applyNumberFormat="1">
      <alignment readingOrder="0"/>
    </xf>
    <xf borderId="0" fillId="5" fontId="7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3" fontId="7" numFmtId="2" xfId="0" applyFont="1" applyNumberFormat="1"/>
    <xf borderId="0" fillId="4" fontId="7" numFmtId="2" xfId="0" applyFont="1" applyNumberFormat="1"/>
    <xf borderId="0" fillId="0" fontId="7" numFmtId="2" xfId="0" applyFont="1" applyNumberFormat="1"/>
    <xf borderId="0" fillId="5" fontId="7" numFmtId="2" xfId="0" applyAlignment="1" applyFont="1" applyNumberFormat="1">
      <alignment readingOrder="0"/>
    </xf>
    <xf borderId="0" fillId="0" fontId="2" numFmtId="167" xfId="0" applyFont="1" applyNumberFormat="1"/>
    <xf borderId="0" fillId="0" fontId="2" numFmtId="0" xfId="0" applyFont="1"/>
    <xf borderId="0" fillId="2" fontId="7" numFmtId="9" xfId="0" applyFont="1" applyNumberFormat="1"/>
    <xf borderId="0" fillId="4" fontId="7" numFmtId="9" xfId="0" applyFont="1" applyNumberFormat="1"/>
    <xf borderId="0" fillId="0" fontId="7" numFmtId="9" xfId="0" applyFont="1" applyNumberFormat="1"/>
    <xf borderId="0" fillId="5" fontId="7" numFmtId="9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29" fillId="0" fontId="7" numFmtId="0" xfId="0" applyAlignment="1" applyBorder="1" applyFont="1">
      <alignment horizontal="center" readingOrder="0"/>
    </xf>
    <xf borderId="0" fillId="3" fontId="7" numFmtId="9" xfId="0" applyFont="1" applyNumberFormat="1"/>
    <xf borderId="0" fillId="2" fontId="7" numFmtId="166" xfId="0" applyFont="1" applyNumberFormat="1"/>
    <xf borderId="34" fillId="0" fontId="7" numFmtId="0" xfId="0" applyAlignment="1" applyBorder="1" applyFont="1">
      <alignment horizontal="center" readingOrder="0"/>
    </xf>
    <xf borderId="0" fillId="2" fontId="2" numFmtId="165" xfId="0" applyAlignment="1" applyFont="1" applyNumberFormat="1">
      <alignment readingOrder="0"/>
    </xf>
    <xf borderId="0" fillId="3" fontId="2" numFmtId="165" xfId="0" applyFont="1" applyNumberFormat="1"/>
    <xf borderId="0" fillId="5" fontId="2" numFmtId="165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21" fillId="3" fontId="7" numFmtId="165" xfId="0" applyBorder="1" applyFont="1" applyNumberFormat="1"/>
    <xf borderId="21" fillId="4" fontId="7" numFmtId="165" xfId="0" applyBorder="1" applyFont="1" applyNumberFormat="1"/>
    <xf borderId="21" fillId="0" fontId="7" numFmtId="0" xfId="0" applyBorder="1" applyFont="1"/>
    <xf borderId="21" fillId="5" fontId="7" numFmtId="165" xfId="0" applyBorder="1" applyFont="1" applyNumberFormat="1"/>
    <xf borderId="0" fillId="0" fontId="2" numFmtId="0" xfId="0" applyAlignment="1" applyFont="1">
      <alignment readingOrder="0"/>
    </xf>
    <xf borderId="0" fillId="3" fontId="2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4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3.13"/>
    <col customWidth="1" min="3" max="5" width="10.63"/>
    <col customWidth="1" min="6" max="6" width="3.25"/>
    <col customWidth="1" min="7" max="7" width="28.63"/>
    <col customWidth="1" min="8" max="10" width="10.63"/>
    <col customWidth="1" min="11" max="11" width="3.25"/>
    <col customWidth="1" min="12" max="12" width="19.88"/>
    <col customWidth="1" min="13" max="15" width="10.63"/>
    <col customWidth="1" min="16" max="16" width="3.25"/>
    <col customWidth="1" min="17" max="17" width="17.38"/>
    <col customWidth="1" min="18" max="20" width="10.63"/>
  </cols>
  <sheetData>
    <row r="1" ht="63.75" customHeight="1">
      <c r="A1" s="1"/>
      <c r="B1" s="2">
        <v>44986.0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ht="45.0" customHeight="1">
      <c r="A2" s="4"/>
      <c r="B2" s="5" t="s">
        <v>0</v>
      </c>
      <c r="C2" s="6"/>
      <c r="D2" s="6"/>
      <c r="E2" s="7"/>
      <c r="F2" s="8"/>
      <c r="G2" s="9" t="s">
        <v>1</v>
      </c>
      <c r="H2" s="6"/>
      <c r="I2" s="6"/>
      <c r="J2" s="7"/>
      <c r="K2" s="8"/>
      <c r="L2" s="9" t="s">
        <v>2</v>
      </c>
      <c r="M2" s="6"/>
      <c r="N2" s="6"/>
      <c r="O2" s="7"/>
      <c r="Q2" s="9" t="s">
        <v>3</v>
      </c>
      <c r="R2" s="6"/>
      <c r="S2" s="6"/>
      <c r="T2" s="7"/>
    </row>
    <row r="3" ht="31.5" customHeight="1">
      <c r="A3" s="10"/>
      <c r="B3" s="11"/>
      <c r="C3" s="12" t="s">
        <v>4</v>
      </c>
      <c r="D3" s="12" t="s">
        <v>5</v>
      </c>
      <c r="E3" s="12" t="s">
        <v>6</v>
      </c>
      <c r="F3" s="11"/>
      <c r="G3" s="11"/>
      <c r="H3" s="12" t="s">
        <v>4</v>
      </c>
      <c r="I3" s="12" t="s">
        <v>5</v>
      </c>
      <c r="J3" s="12" t="s">
        <v>6</v>
      </c>
      <c r="K3" s="11"/>
      <c r="L3" s="11"/>
      <c r="M3" s="12" t="s">
        <v>4</v>
      </c>
      <c r="N3" s="12" t="s">
        <v>5</v>
      </c>
      <c r="O3" s="12" t="s">
        <v>6</v>
      </c>
      <c r="R3" s="12" t="s">
        <v>4</v>
      </c>
      <c r="S3" s="12" t="s">
        <v>5</v>
      </c>
      <c r="T3" s="12" t="s">
        <v>6</v>
      </c>
    </row>
    <row r="4" ht="22.5" customHeight="1">
      <c r="A4" s="13"/>
      <c r="B4" s="14" t="s">
        <v>7</v>
      </c>
      <c r="C4" s="15">
        <f>Detail!H7</f>
        <v>1.047619048</v>
      </c>
      <c r="D4" s="16">
        <f>Detail!K7</f>
        <v>0.9090909091</v>
      </c>
      <c r="E4" s="17">
        <v>1.0</v>
      </c>
      <c r="F4" s="3"/>
      <c r="G4" s="18" t="s">
        <v>8</v>
      </c>
      <c r="H4" s="19">
        <f>Detail!D42</f>
        <v>0.4</v>
      </c>
      <c r="I4" s="15">
        <f>Detail!E42</f>
        <v>0.6666666667</v>
      </c>
      <c r="J4" s="17">
        <f>Detail!H42</f>
        <v>0.65</v>
      </c>
      <c r="K4" s="3"/>
      <c r="L4" s="14" t="s">
        <v>9</v>
      </c>
      <c r="M4" s="20">
        <f>Detail!F88</f>
        <v>0.5555555556</v>
      </c>
      <c r="N4" s="21">
        <f>Detail!I88</f>
        <v>0.5</v>
      </c>
      <c r="O4" s="22">
        <f>Detail!G88</f>
        <v>0.5376623377</v>
      </c>
      <c r="P4" s="3"/>
      <c r="Q4" s="23" t="s">
        <v>10</v>
      </c>
      <c r="R4" s="24">
        <f>Detail!D116</f>
        <v>0.893</v>
      </c>
      <c r="S4" s="24">
        <f>Detail!E116</f>
        <v>0.912</v>
      </c>
      <c r="T4" s="25">
        <f>Detail!G116</f>
        <v>0.8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2.5" customHeight="1">
      <c r="A5" s="13"/>
      <c r="B5" s="26" t="s">
        <v>11</v>
      </c>
      <c r="C5" s="27">
        <f>Detail!H8</f>
        <v>0.4</v>
      </c>
      <c r="D5" s="28">
        <f>Detail!K8</f>
        <v>1.1</v>
      </c>
      <c r="E5" s="29">
        <v>1.0</v>
      </c>
      <c r="F5" s="3"/>
      <c r="G5" s="26" t="s">
        <v>12</v>
      </c>
      <c r="H5" s="27">
        <f>Detail!D47</f>
        <v>0.5</v>
      </c>
      <c r="I5" s="28">
        <f>Detail!E47</f>
        <v>0.669176077</v>
      </c>
      <c r="J5" s="29">
        <f>Detail!H47</f>
        <v>0.65</v>
      </c>
      <c r="K5" s="3"/>
      <c r="L5" s="26" t="s">
        <v>13</v>
      </c>
      <c r="M5" s="30">
        <f>Detail!F90</f>
        <v>0.1944444444</v>
      </c>
      <c r="N5" s="31">
        <f>Detail!I90</f>
        <v>0.2039473684</v>
      </c>
      <c r="O5" s="32">
        <f>Detail!G90</f>
        <v>0.2207792208</v>
      </c>
      <c r="P5" s="3"/>
      <c r="Q5" s="33" t="s">
        <v>14</v>
      </c>
      <c r="R5" s="34">
        <f>Detail!D117</f>
        <v>0.675</v>
      </c>
      <c r="S5" s="35">
        <f>Detail!E117</f>
        <v>0.836</v>
      </c>
      <c r="T5" s="36">
        <f>Detail!G117</f>
        <v>0.8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2.5" customHeight="1">
      <c r="A6" s="13"/>
      <c r="B6" s="26" t="s">
        <v>15</v>
      </c>
      <c r="C6" s="28">
        <f>Detail!H9</f>
        <v>0.9677419355</v>
      </c>
      <c r="D6" s="28">
        <f>Detail!K9</f>
        <v>1.125</v>
      </c>
      <c r="E6" s="29">
        <v>1.0</v>
      </c>
      <c r="F6" s="3"/>
      <c r="G6" s="37" t="s">
        <v>16</v>
      </c>
      <c r="H6" s="27">
        <f>Detail!D51</f>
        <v>0.5</v>
      </c>
      <c r="I6" s="38" t="s">
        <v>17</v>
      </c>
      <c r="J6" s="29">
        <f>Detail!H51</f>
        <v>0.8</v>
      </c>
      <c r="K6" s="3"/>
      <c r="L6" s="37"/>
      <c r="M6" s="3"/>
      <c r="N6" s="3"/>
      <c r="O6" s="39"/>
      <c r="P6" s="3"/>
      <c r="Q6" s="33" t="s">
        <v>18</v>
      </c>
      <c r="R6" s="35">
        <f>Detail!D118</f>
        <v>0.883</v>
      </c>
      <c r="S6" s="40">
        <f>Detail!E118</f>
        <v>0.723</v>
      </c>
      <c r="T6" s="36">
        <f>Detail!G118</f>
        <v>0.8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22.5" customHeight="1">
      <c r="A7" s="13"/>
      <c r="B7" s="41" t="s">
        <v>19</v>
      </c>
      <c r="C7" s="42">
        <f>Detail!H10</f>
        <v>0.9397590361</v>
      </c>
      <c r="D7" s="43">
        <f>Detail!K10</f>
        <v>1.011627907</v>
      </c>
      <c r="E7" s="44">
        <v>1.0</v>
      </c>
      <c r="F7" s="3"/>
      <c r="G7" s="37" t="s">
        <v>20</v>
      </c>
      <c r="H7" s="27">
        <f>Detail!D54</f>
        <v>0.5</v>
      </c>
      <c r="I7" s="38" t="s">
        <v>17</v>
      </c>
      <c r="J7" s="29">
        <f>Detail!H54</f>
        <v>0.8</v>
      </c>
      <c r="K7" s="3"/>
      <c r="L7" s="26" t="s">
        <v>21</v>
      </c>
      <c r="M7" s="45">
        <f>Detail!D99</f>
        <v>200617.284</v>
      </c>
      <c r="N7" s="46">
        <f>Detail!E99</f>
        <v>196987.9518</v>
      </c>
      <c r="O7" s="47">
        <f>Detail!G99</f>
        <v>200000</v>
      </c>
      <c r="P7" s="3"/>
      <c r="Q7" s="33" t="s">
        <v>22</v>
      </c>
      <c r="R7" s="34">
        <f>Detail!D119</f>
        <v>0.731</v>
      </c>
      <c r="S7" s="34">
        <f>Detail!E119</f>
        <v>0.569</v>
      </c>
      <c r="T7" s="36">
        <f>Detail!G119</f>
        <v>0.8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22.5" customHeight="1">
      <c r="A8" s="3"/>
      <c r="B8" s="48"/>
      <c r="C8" s="49"/>
      <c r="D8" s="49"/>
      <c r="E8" s="49"/>
      <c r="F8" s="3"/>
      <c r="G8" s="37"/>
      <c r="H8" s="49"/>
      <c r="I8" s="49"/>
      <c r="J8" s="50"/>
      <c r="K8" s="3"/>
      <c r="L8" s="37"/>
      <c r="M8" s="3"/>
      <c r="N8" s="3"/>
      <c r="O8" s="39"/>
      <c r="P8" s="3"/>
      <c r="Q8" s="33" t="s">
        <v>23</v>
      </c>
      <c r="R8" s="35">
        <f>Detail!D120</f>
        <v>0.865</v>
      </c>
      <c r="S8" s="34">
        <f>Detail!E120</f>
        <v>0.59</v>
      </c>
      <c r="T8" s="36">
        <f>Detail!G120</f>
        <v>0.8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22.5" customHeight="1">
      <c r="A9" s="13"/>
      <c r="B9" s="14" t="s">
        <v>24</v>
      </c>
      <c r="C9" s="15">
        <f>Detail!H16</f>
        <v>1.257142857</v>
      </c>
      <c r="D9" s="15">
        <f>Detail!K16</f>
        <v>1.090909091</v>
      </c>
      <c r="E9" s="17">
        <v>1.0</v>
      </c>
      <c r="F9" s="3"/>
      <c r="G9" s="26" t="s">
        <v>25</v>
      </c>
      <c r="H9" s="51">
        <f>Detail!D62</f>
        <v>0.980952381</v>
      </c>
      <c r="I9" s="51">
        <f>Detail!E62</f>
        <v>0.9727272727</v>
      </c>
      <c r="J9" s="32">
        <f>Detail!G62</f>
        <v>0.96</v>
      </c>
      <c r="K9" s="3"/>
      <c r="L9" s="26" t="s">
        <v>26</v>
      </c>
      <c r="M9" s="51">
        <f>Detail!D103</f>
        <v>0.4444444444</v>
      </c>
      <c r="N9" s="30">
        <f>Detail!E103</f>
        <v>0.5</v>
      </c>
      <c r="O9" s="32">
        <f>Detail!G103</f>
        <v>0.4543209877</v>
      </c>
      <c r="P9" s="3"/>
      <c r="Q9" s="52" t="s">
        <v>27</v>
      </c>
      <c r="R9" s="53">
        <f>Detail!D121</f>
        <v>0.8094</v>
      </c>
      <c r="S9" s="54">
        <f>Detail!E121</f>
        <v>0.733</v>
      </c>
      <c r="T9" s="55">
        <f>Detail!G121</f>
        <v>0.8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22.5" customHeight="1">
      <c r="A10" s="13"/>
      <c r="B10" s="26" t="s">
        <v>28</v>
      </c>
      <c r="C10" s="28">
        <f>Detail!H17</f>
        <v>1.1</v>
      </c>
      <c r="D10" s="28">
        <f>Detail!K17</f>
        <v>0.9545454545</v>
      </c>
      <c r="E10" s="29">
        <v>1.0</v>
      </c>
      <c r="F10" s="3"/>
      <c r="G10" s="26" t="s">
        <v>29</v>
      </c>
      <c r="H10" s="51">
        <f>Detail!D67</f>
        <v>0.9631578947</v>
      </c>
      <c r="I10" s="31">
        <f>Detail!E67</f>
        <v>0.9444444444</v>
      </c>
      <c r="J10" s="32">
        <f>Detail!G67</f>
        <v>0.96</v>
      </c>
      <c r="K10" s="3"/>
      <c r="L10" s="26" t="s">
        <v>30</v>
      </c>
      <c r="M10" s="30">
        <f>Detail!D104</f>
        <v>0.116</v>
      </c>
      <c r="N10" s="56">
        <f>Detail!E104</f>
        <v>0.091</v>
      </c>
      <c r="O10" s="32">
        <f>Detail!G104</f>
        <v>0.099</v>
      </c>
      <c r="P10" s="3"/>
      <c r="R10" s="57" t="str">
        <f>Detail!C122</f>
        <v/>
      </c>
      <c r="S10" s="57"/>
      <c r="T10" s="49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2.5" customHeight="1">
      <c r="A11" s="13"/>
      <c r="B11" s="26" t="s">
        <v>31</v>
      </c>
      <c r="C11" s="27">
        <f>Detail!H18</f>
        <v>0.7857142857</v>
      </c>
      <c r="D11" s="27">
        <f>Detail!K18</f>
        <v>0.6818181818</v>
      </c>
      <c r="E11" s="29">
        <v>1.0</v>
      </c>
      <c r="F11" s="3"/>
      <c r="G11" s="26" t="s">
        <v>32</v>
      </c>
      <c r="H11" s="30">
        <f>Detail!D72</f>
        <v>0.9285714286</v>
      </c>
      <c r="I11" s="30">
        <f>Detail!E72</f>
        <v>0.9</v>
      </c>
      <c r="J11" s="32">
        <f>Detail!G72</f>
        <v>0.96</v>
      </c>
      <c r="K11" s="3"/>
      <c r="L11" s="26" t="s">
        <v>33</v>
      </c>
      <c r="M11" s="30">
        <f>Detail!D105</f>
        <v>0.127</v>
      </c>
      <c r="N11" s="56">
        <f>Detail!E105</f>
        <v>0.11</v>
      </c>
      <c r="O11" s="32">
        <f>Detail!G105</f>
        <v>0.11</v>
      </c>
      <c r="P11" s="3"/>
      <c r="Q11" s="14" t="s">
        <v>34</v>
      </c>
      <c r="R11" s="58" t="s">
        <v>17</v>
      </c>
      <c r="S11" s="19">
        <f>Detail!C126</f>
        <v>0.88</v>
      </c>
      <c r="T11" s="17">
        <f>Detail!D126</f>
        <v>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2.5" customHeight="1">
      <c r="A12" s="13"/>
      <c r="B12" s="26" t="s">
        <v>35</v>
      </c>
      <c r="C12" s="27">
        <f>Detail!H19</f>
        <v>0.4</v>
      </c>
      <c r="D12" s="28">
        <f>Detail!K19</f>
        <v>1.1</v>
      </c>
      <c r="E12" s="29">
        <v>1.0</v>
      </c>
      <c r="F12" s="3"/>
      <c r="G12" s="59" t="s">
        <v>36</v>
      </c>
      <c r="H12" s="60">
        <f>Detail!D77</f>
        <v>0.9573770492</v>
      </c>
      <c r="I12" s="61">
        <f>Detail!E77</f>
        <v>0.94</v>
      </c>
      <c r="J12" s="62">
        <f>Detail!G77</f>
        <v>0.96</v>
      </c>
      <c r="K12" s="3"/>
      <c r="L12" s="26" t="s">
        <v>37</v>
      </c>
      <c r="M12" s="63">
        <f>Detail!D106</f>
        <v>0.024</v>
      </c>
      <c r="N12" s="63">
        <f>Detail!E106</f>
        <v>0.023</v>
      </c>
      <c r="O12" s="32">
        <f>Detail!G106</f>
        <v>0.02</v>
      </c>
      <c r="P12" s="3"/>
      <c r="Q12" s="64" t="s">
        <v>38</v>
      </c>
      <c r="R12" s="65" t="s">
        <v>17</v>
      </c>
      <c r="S12" s="66">
        <f>Detail!C133</f>
        <v>0.75</v>
      </c>
      <c r="T12" s="67">
        <f>Detail!D133</f>
        <v>1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2.5" customHeight="1">
      <c r="A13" s="13"/>
      <c r="B13" s="41" t="s">
        <v>39</v>
      </c>
      <c r="C13" s="42">
        <f>Detail!H20</f>
        <v>0.9230769231</v>
      </c>
      <c r="D13" s="42">
        <f>Detail!K20</f>
        <v>0.9444444444</v>
      </c>
      <c r="E13" s="44">
        <v>1.0</v>
      </c>
      <c r="F13" s="3"/>
      <c r="G13" s="68"/>
      <c r="H13" s="68"/>
      <c r="I13" s="68"/>
      <c r="J13" s="68"/>
      <c r="K13" s="3"/>
      <c r="L13" s="26" t="s">
        <v>40</v>
      </c>
      <c r="M13" s="69">
        <f>Detail!D107</f>
        <v>0.055</v>
      </c>
      <c r="N13" s="56">
        <f>Detail!E107</f>
        <v>0.042</v>
      </c>
      <c r="O13" s="32">
        <f>Detail!G107</f>
        <v>0.05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64" t="s">
        <v>41</v>
      </c>
      <c r="M14" s="70">
        <f>Detail!D108</f>
        <v>0.04</v>
      </c>
      <c r="N14" s="70">
        <f>Detail!E108</f>
        <v>0.03</v>
      </c>
      <c r="O14" s="71">
        <f>Detail!G108</f>
        <v>0.04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B15" s="72" t="s">
        <v>42</v>
      </c>
      <c r="C15" s="73">
        <f>Detail!D25</f>
        <v>0.05769230769</v>
      </c>
      <c r="D15" s="74">
        <f>Detail!E25</f>
        <v>0.08333333333</v>
      </c>
      <c r="E15" s="75">
        <f>Detail!G25</f>
        <v>0.07</v>
      </c>
    </row>
    <row r="16">
      <c r="B16" s="76" t="s">
        <v>43</v>
      </c>
      <c r="C16" s="77">
        <f>Detail!D27</f>
        <v>0.25</v>
      </c>
      <c r="D16" s="78">
        <f>Detail!E27</f>
        <v>0.2857142857</v>
      </c>
      <c r="E16" s="79">
        <f>Detail!G27</f>
        <v>0.3</v>
      </c>
    </row>
    <row r="17">
      <c r="B17" s="80" t="s">
        <v>44</v>
      </c>
      <c r="C17" s="81">
        <f>Detail!D30</f>
        <v>130000</v>
      </c>
      <c r="D17" s="81">
        <f>Detail!E30</f>
        <v>125000</v>
      </c>
      <c r="E17" s="82">
        <v>90000.0</v>
      </c>
    </row>
    <row r="18">
      <c r="B18" s="83" t="s">
        <v>45</v>
      </c>
      <c r="C18" s="81">
        <f>Detail!D31</f>
        <v>50000</v>
      </c>
      <c r="D18" s="81">
        <f>Detail!E31</f>
        <v>55000</v>
      </c>
      <c r="E18" s="84">
        <f>Detail!G31</f>
        <v>30000</v>
      </c>
    </row>
    <row r="19">
      <c r="B19" s="85" t="s">
        <v>46</v>
      </c>
      <c r="C19" s="86">
        <f>Detail!D32</f>
        <v>2.6</v>
      </c>
      <c r="D19" s="87">
        <f>Detail!E32</f>
        <v>2.272727273</v>
      </c>
      <c r="E19" s="88">
        <f>Detail!G32</f>
        <v>3</v>
      </c>
    </row>
  </sheetData>
  <mergeCells count="5">
    <mergeCell ref="B1:E1"/>
    <mergeCell ref="B2:E2"/>
    <mergeCell ref="G2:J2"/>
    <mergeCell ref="L2:O2"/>
    <mergeCell ref="Q2:T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30.0"/>
  </cols>
  <sheetData>
    <row r="1">
      <c r="A1" s="1"/>
      <c r="B1" s="1"/>
    </row>
    <row r="2">
      <c r="A2" s="1"/>
      <c r="B2" s="1" t="s">
        <v>47</v>
      </c>
    </row>
    <row r="4">
      <c r="A4" s="89"/>
      <c r="B4" s="89" t="s">
        <v>48</v>
      </c>
    </row>
    <row r="5">
      <c r="C5" s="90" t="s">
        <v>49</v>
      </c>
      <c r="D5" s="91"/>
      <c r="E5" s="92"/>
      <c r="F5" s="90" t="s">
        <v>50</v>
      </c>
      <c r="G5" s="91"/>
      <c r="H5" s="92"/>
      <c r="I5" s="90" t="s">
        <v>51</v>
      </c>
      <c r="J5" s="91"/>
      <c r="K5" s="92"/>
      <c r="L5" s="90" t="s">
        <v>52</v>
      </c>
      <c r="M5" s="91"/>
      <c r="N5" s="92"/>
      <c r="O5" s="90" t="s">
        <v>53</v>
      </c>
      <c r="P5" s="91"/>
      <c r="Q5" s="92"/>
    </row>
    <row r="6">
      <c r="C6" s="93" t="s">
        <v>54</v>
      </c>
      <c r="D6" s="94" t="s">
        <v>6</v>
      </c>
      <c r="E6" s="95" t="s">
        <v>55</v>
      </c>
      <c r="F6" s="93" t="s">
        <v>54</v>
      </c>
      <c r="G6" s="94" t="s">
        <v>6</v>
      </c>
      <c r="H6" s="95" t="s">
        <v>55</v>
      </c>
      <c r="I6" s="93" t="s">
        <v>54</v>
      </c>
      <c r="J6" s="94" t="s">
        <v>6</v>
      </c>
      <c r="K6" s="95" t="s">
        <v>55</v>
      </c>
      <c r="L6" s="93" t="s">
        <v>54</v>
      </c>
      <c r="M6" s="94" t="s">
        <v>6</v>
      </c>
      <c r="N6" s="95" t="s">
        <v>55</v>
      </c>
      <c r="O6" s="93" t="s">
        <v>54</v>
      </c>
      <c r="P6" s="94" t="s">
        <v>6</v>
      </c>
      <c r="Q6" s="95" t="s">
        <v>55</v>
      </c>
    </row>
    <row r="7">
      <c r="A7" s="96"/>
      <c r="B7" s="97" t="s">
        <v>7</v>
      </c>
      <c r="C7" s="98">
        <v>950000.0</v>
      </c>
      <c r="D7" s="98">
        <v>1000000.0</v>
      </c>
      <c r="E7" s="99">
        <f t="shared" ref="E7:E10" si="2">C7/D7</f>
        <v>0.95</v>
      </c>
      <c r="F7" s="98">
        <v>1100000.0</v>
      </c>
      <c r="G7" s="98">
        <f>D7+50000</f>
        <v>1050000</v>
      </c>
      <c r="H7" s="100">
        <f t="shared" ref="H7:H10" si="3">F7/G7</f>
        <v>1.047619048</v>
      </c>
      <c r="I7" s="98">
        <v>1000000.0</v>
      </c>
      <c r="J7" s="98">
        <f>G7+50000</f>
        <v>1100000</v>
      </c>
      <c r="K7" s="99">
        <f t="shared" ref="K7:K10" si="4">I7/J7</f>
        <v>0.9090909091</v>
      </c>
      <c r="L7" s="101"/>
      <c r="M7" s="98">
        <f>J7+50000</f>
        <v>1150000</v>
      </c>
      <c r="N7" s="102">
        <f t="shared" ref="N7:N10" si="5">L7/M7</f>
        <v>0</v>
      </c>
      <c r="O7" s="101">
        <f t="shared" ref="O7:P7" si="1">SUM(L7,I7,F7,C7)</f>
        <v>3050000</v>
      </c>
      <c r="P7" s="101">
        <f t="shared" si="1"/>
        <v>4300000</v>
      </c>
      <c r="Q7" s="102">
        <f t="shared" ref="Q7:Q10" si="7">O7/P7</f>
        <v>0.7093023256</v>
      </c>
    </row>
    <row r="8">
      <c r="A8" s="89"/>
      <c r="B8" s="89" t="s">
        <v>11</v>
      </c>
      <c r="C8" s="98">
        <v>325000.0</v>
      </c>
      <c r="D8" s="98">
        <v>250000.0</v>
      </c>
      <c r="E8" s="100">
        <f t="shared" si="2"/>
        <v>1.3</v>
      </c>
      <c r="F8" s="98">
        <v>100000.0</v>
      </c>
      <c r="G8" s="98">
        <f>D8</f>
        <v>250000</v>
      </c>
      <c r="H8" s="103">
        <f t="shared" si="3"/>
        <v>0.4</v>
      </c>
      <c r="I8" s="98">
        <v>275000.0</v>
      </c>
      <c r="J8" s="98">
        <f>G8</f>
        <v>250000</v>
      </c>
      <c r="K8" s="100">
        <f t="shared" si="4"/>
        <v>1.1</v>
      </c>
      <c r="L8" s="101"/>
      <c r="M8" s="98">
        <f>J8</f>
        <v>250000</v>
      </c>
      <c r="N8" s="102">
        <f t="shared" si="5"/>
        <v>0</v>
      </c>
      <c r="O8" s="101">
        <f t="shared" ref="O8:P8" si="6">SUM(L8,I8,F8,C8)</f>
        <v>700000</v>
      </c>
      <c r="P8" s="101">
        <f t="shared" si="6"/>
        <v>1000000</v>
      </c>
      <c r="Q8" s="102">
        <f t="shared" si="7"/>
        <v>0.7</v>
      </c>
    </row>
    <row r="9">
      <c r="A9" s="96"/>
      <c r="B9" s="104" t="s">
        <v>15</v>
      </c>
      <c r="C9" s="98">
        <v>780000.0</v>
      </c>
      <c r="D9" s="98">
        <v>750000.0</v>
      </c>
      <c r="E9" s="100">
        <f t="shared" si="2"/>
        <v>1.04</v>
      </c>
      <c r="F9" s="98">
        <v>750000.0</v>
      </c>
      <c r="G9" s="98">
        <f>D9+25000</f>
        <v>775000</v>
      </c>
      <c r="H9" s="100">
        <f t="shared" si="3"/>
        <v>0.9677419355</v>
      </c>
      <c r="I9" s="98">
        <v>900000.0</v>
      </c>
      <c r="J9" s="98">
        <f>G9+25000</f>
        <v>800000</v>
      </c>
      <c r="K9" s="100">
        <f t="shared" si="4"/>
        <v>1.125</v>
      </c>
      <c r="L9" s="101"/>
      <c r="M9" s="98">
        <f>J9+25000</f>
        <v>825000</v>
      </c>
      <c r="N9" s="102">
        <f t="shared" si="5"/>
        <v>0</v>
      </c>
      <c r="O9" s="101">
        <f t="shared" ref="O9:P9" si="8">SUM(L9,I9,F9,C9)</f>
        <v>2430000</v>
      </c>
      <c r="P9" s="101">
        <f t="shared" si="8"/>
        <v>3150000</v>
      </c>
      <c r="Q9" s="102">
        <f t="shared" si="7"/>
        <v>0.7714285714</v>
      </c>
    </row>
    <row r="10">
      <c r="A10" s="105"/>
      <c r="B10" s="106" t="s">
        <v>19</v>
      </c>
      <c r="C10" s="107">
        <f t="shared" ref="C10:D10" si="9">sum(C7:C9)</f>
        <v>2055000</v>
      </c>
      <c r="D10" s="107">
        <f t="shared" si="9"/>
        <v>2000000</v>
      </c>
      <c r="E10" s="108">
        <f t="shared" si="2"/>
        <v>1.0275</v>
      </c>
      <c r="F10" s="107">
        <f t="shared" ref="F10:G10" si="10">sum(F7:F9)</f>
        <v>1950000</v>
      </c>
      <c r="G10" s="107">
        <f t="shared" si="10"/>
        <v>2075000</v>
      </c>
      <c r="H10" s="109">
        <f t="shared" si="3"/>
        <v>0.9397590361</v>
      </c>
      <c r="I10" s="107">
        <f t="shared" ref="I10:J10" si="11">sum(I7:I9)</f>
        <v>2175000</v>
      </c>
      <c r="J10" s="107">
        <f t="shared" si="11"/>
        <v>2150000</v>
      </c>
      <c r="K10" s="108">
        <f t="shared" si="4"/>
        <v>1.011627907</v>
      </c>
      <c r="L10" s="107">
        <f t="shared" ref="L10:M10" si="12">sum(L7:L9)</f>
        <v>0</v>
      </c>
      <c r="M10" s="107">
        <f t="shared" si="12"/>
        <v>2225000</v>
      </c>
      <c r="N10" s="110">
        <f t="shared" si="5"/>
        <v>0</v>
      </c>
      <c r="O10" s="107">
        <f t="shared" ref="O10:P10" si="13">sum(O7:O9)</f>
        <v>6180000</v>
      </c>
      <c r="P10" s="107">
        <f t="shared" si="13"/>
        <v>8450000</v>
      </c>
      <c r="Q10" s="110">
        <f t="shared" si="7"/>
        <v>0.7313609467</v>
      </c>
    </row>
    <row r="13">
      <c r="A13" s="89"/>
      <c r="B13" s="89" t="s">
        <v>56</v>
      </c>
    </row>
    <row r="14">
      <c r="C14" s="90" t="s">
        <v>49</v>
      </c>
      <c r="D14" s="91"/>
      <c r="E14" s="92"/>
      <c r="F14" s="90" t="s">
        <v>50</v>
      </c>
      <c r="G14" s="91"/>
      <c r="H14" s="92"/>
      <c r="I14" s="90" t="s">
        <v>51</v>
      </c>
      <c r="J14" s="91"/>
      <c r="K14" s="92"/>
      <c r="L14" s="90" t="s">
        <v>52</v>
      </c>
      <c r="M14" s="91"/>
      <c r="N14" s="92"/>
      <c r="O14" s="90" t="s">
        <v>53</v>
      </c>
      <c r="P14" s="91"/>
      <c r="Q14" s="92"/>
    </row>
    <row r="15">
      <c r="C15" s="93" t="s">
        <v>54</v>
      </c>
      <c r="D15" s="94" t="s">
        <v>6</v>
      </c>
      <c r="E15" s="95" t="s">
        <v>55</v>
      </c>
      <c r="F15" s="93" t="s">
        <v>54</v>
      </c>
      <c r="G15" s="94" t="s">
        <v>6</v>
      </c>
      <c r="H15" s="95" t="s">
        <v>55</v>
      </c>
      <c r="I15" s="93" t="s">
        <v>54</v>
      </c>
      <c r="J15" s="94" t="s">
        <v>6</v>
      </c>
      <c r="K15" s="95" t="s">
        <v>55</v>
      </c>
      <c r="L15" s="93" t="s">
        <v>54</v>
      </c>
      <c r="M15" s="94" t="s">
        <v>6</v>
      </c>
      <c r="N15" s="95" t="s">
        <v>55</v>
      </c>
      <c r="O15" s="93" t="s">
        <v>54</v>
      </c>
      <c r="P15" s="94" t="s">
        <v>6</v>
      </c>
      <c r="Q15" s="95" t="s">
        <v>55</v>
      </c>
    </row>
    <row r="16">
      <c r="A16" s="89"/>
      <c r="B16" s="89" t="s">
        <v>24</v>
      </c>
      <c r="C16" s="98">
        <f>C7*0.4</f>
        <v>380000</v>
      </c>
      <c r="D16" s="98">
        <f>D7/3</f>
        <v>333333.3333</v>
      </c>
      <c r="E16" s="100">
        <f t="shared" ref="E16:E20" si="15">C16/D16</f>
        <v>1.14</v>
      </c>
      <c r="F16" s="98">
        <f>F7*0.4</f>
        <v>440000</v>
      </c>
      <c r="G16" s="98">
        <f>G7/3</f>
        <v>350000</v>
      </c>
      <c r="H16" s="100">
        <f t="shared" ref="H16:H20" si="16">F16/G16</f>
        <v>1.257142857</v>
      </c>
      <c r="I16" s="98">
        <f>I7*0.4</f>
        <v>400000</v>
      </c>
      <c r="J16" s="98">
        <f>J7/3</f>
        <v>366666.6667</v>
      </c>
      <c r="K16" s="100">
        <f t="shared" ref="K16:K20" si="17">I16/J16</f>
        <v>1.090909091</v>
      </c>
      <c r="L16" s="98"/>
      <c r="M16" s="98">
        <f>M7/3</f>
        <v>383333.3333</v>
      </c>
      <c r="N16" s="102">
        <f t="shared" ref="N16:N20" si="18">L16/M16</f>
        <v>0</v>
      </c>
      <c r="O16" s="101">
        <f t="shared" ref="O16:P16" si="14">SUM(L16,I16,F16,C16)</f>
        <v>1220000</v>
      </c>
      <c r="P16" s="101">
        <f t="shared" si="14"/>
        <v>1433333.333</v>
      </c>
      <c r="Q16" s="102">
        <f t="shared" ref="Q16:Q20" si="20">O16/P16</f>
        <v>0.8511627907</v>
      </c>
    </row>
    <row r="17">
      <c r="A17" s="89"/>
      <c r="B17" s="89" t="s">
        <v>28</v>
      </c>
      <c r="C17" s="98">
        <f>C7*0.35</f>
        <v>332500</v>
      </c>
      <c r="D17" s="98">
        <f t="shared" ref="D17:D18" si="21">D16</f>
        <v>333333.3333</v>
      </c>
      <c r="E17" s="100">
        <f t="shared" si="15"/>
        <v>0.9975</v>
      </c>
      <c r="F17" s="98">
        <f>F7*0.35</f>
        <v>385000</v>
      </c>
      <c r="G17" s="98">
        <f t="shared" ref="G17:G18" si="22">G16</f>
        <v>350000</v>
      </c>
      <c r="H17" s="100">
        <f t="shared" si="16"/>
        <v>1.1</v>
      </c>
      <c r="I17" s="98">
        <f>I7*0.35</f>
        <v>350000</v>
      </c>
      <c r="J17" s="98">
        <f t="shared" ref="J17:J18" si="23">J16</f>
        <v>366666.6667</v>
      </c>
      <c r="K17" s="100">
        <f t="shared" si="17"/>
        <v>0.9545454545</v>
      </c>
      <c r="L17" s="98"/>
      <c r="M17" s="98">
        <f t="shared" ref="M17:M18" si="24">M16</f>
        <v>383333.3333</v>
      </c>
      <c r="N17" s="102">
        <f t="shared" si="18"/>
        <v>0</v>
      </c>
      <c r="O17" s="101">
        <f t="shared" ref="O17:P17" si="19">SUM(L17,I17,F17,C17)</f>
        <v>1067500</v>
      </c>
      <c r="P17" s="101">
        <f t="shared" si="19"/>
        <v>1433333.333</v>
      </c>
      <c r="Q17" s="102">
        <f t="shared" si="20"/>
        <v>0.7447674419</v>
      </c>
    </row>
    <row r="18">
      <c r="A18" s="89"/>
      <c r="B18" s="89" t="s">
        <v>31</v>
      </c>
      <c r="C18" s="98">
        <f>C7*0.25</f>
        <v>237500</v>
      </c>
      <c r="D18" s="98">
        <f t="shared" si="21"/>
        <v>333333.3333</v>
      </c>
      <c r="E18" s="103">
        <f t="shared" si="15"/>
        <v>0.7125</v>
      </c>
      <c r="F18" s="98">
        <f>F7*0.25</f>
        <v>275000</v>
      </c>
      <c r="G18" s="98">
        <f t="shared" si="22"/>
        <v>350000</v>
      </c>
      <c r="H18" s="103">
        <f t="shared" si="16"/>
        <v>0.7857142857</v>
      </c>
      <c r="I18" s="98">
        <f>I7*0.25</f>
        <v>250000</v>
      </c>
      <c r="J18" s="98">
        <f t="shared" si="23"/>
        <v>366666.6667</v>
      </c>
      <c r="K18" s="103">
        <f t="shared" si="17"/>
        <v>0.6818181818</v>
      </c>
      <c r="L18" s="98"/>
      <c r="M18" s="98">
        <f t="shared" si="24"/>
        <v>383333.3333</v>
      </c>
      <c r="N18" s="102">
        <f t="shared" si="18"/>
        <v>0</v>
      </c>
      <c r="O18" s="101">
        <f t="shared" ref="O18:P18" si="25">SUM(L18,I18,F18,C18)</f>
        <v>762500</v>
      </c>
      <c r="P18" s="101">
        <f t="shared" si="25"/>
        <v>1433333.333</v>
      </c>
      <c r="Q18" s="102">
        <f t="shared" si="20"/>
        <v>0.5319767442</v>
      </c>
    </row>
    <row r="19">
      <c r="A19" s="89"/>
      <c r="B19" s="89" t="s">
        <v>57</v>
      </c>
      <c r="C19" s="98">
        <f t="shared" ref="C19:D19" si="26">C8</f>
        <v>325000</v>
      </c>
      <c r="D19" s="98">
        <f t="shared" si="26"/>
        <v>250000</v>
      </c>
      <c r="E19" s="100">
        <f t="shared" si="15"/>
        <v>1.3</v>
      </c>
      <c r="F19" s="98">
        <f t="shared" ref="F19:G19" si="27">F8</f>
        <v>100000</v>
      </c>
      <c r="G19" s="98">
        <f t="shared" si="27"/>
        <v>250000</v>
      </c>
      <c r="H19" s="103">
        <f t="shared" si="16"/>
        <v>0.4</v>
      </c>
      <c r="I19" s="98">
        <f t="shared" ref="I19:J19" si="28">I8</f>
        <v>275000</v>
      </c>
      <c r="J19" s="98">
        <f t="shared" si="28"/>
        <v>250000</v>
      </c>
      <c r="K19" s="100">
        <f t="shared" si="17"/>
        <v>1.1</v>
      </c>
      <c r="L19" s="98"/>
      <c r="M19" s="98">
        <f>M8</f>
        <v>250000</v>
      </c>
      <c r="N19" s="102">
        <f t="shared" si="18"/>
        <v>0</v>
      </c>
      <c r="O19" s="101">
        <f t="shared" ref="O19:P19" si="29">SUM(L19,I19,F19,C19)</f>
        <v>700000</v>
      </c>
      <c r="P19" s="101">
        <f t="shared" si="29"/>
        <v>1000000</v>
      </c>
      <c r="Q19" s="102">
        <f t="shared" si="20"/>
        <v>0.7</v>
      </c>
    </row>
    <row r="20">
      <c r="B20" s="106" t="s">
        <v>58</v>
      </c>
      <c r="C20" s="107">
        <f t="shared" ref="C20:D20" si="30">sum(C16:C19)</f>
        <v>1275000</v>
      </c>
      <c r="D20" s="107">
        <f t="shared" si="30"/>
        <v>1250000</v>
      </c>
      <c r="E20" s="108">
        <f t="shared" si="15"/>
        <v>1.02</v>
      </c>
      <c r="F20" s="107">
        <f t="shared" ref="F20:G20" si="31">sum(F16:F19)</f>
        <v>1200000</v>
      </c>
      <c r="G20" s="107">
        <f t="shared" si="31"/>
        <v>1300000</v>
      </c>
      <c r="H20" s="109">
        <f t="shared" si="16"/>
        <v>0.9230769231</v>
      </c>
      <c r="I20" s="107">
        <f t="shared" ref="I20:J20" si="32">sum(I16:I19)</f>
        <v>1275000</v>
      </c>
      <c r="J20" s="107">
        <f t="shared" si="32"/>
        <v>1350000</v>
      </c>
      <c r="K20" s="109">
        <f t="shared" si="17"/>
        <v>0.9444444444</v>
      </c>
      <c r="L20" s="107">
        <f t="shared" ref="L20:M20" si="33">sum(L16:L19)</f>
        <v>0</v>
      </c>
      <c r="M20" s="107">
        <f t="shared" si="33"/>
        <v>1400000</v>
      </c>
      <c r="N20" s="110">
        <f t="shared" si="18"/>
        <v>0</v>
      </c>
      <c r="O20" s="107">
        <f t="shared" ref="O20:P20" si="34">sum(O16:O19)</f>
        <v>3750000</v>
      </c>
      <c r="P20" s="107">
        <f t="shared" si="34"/>
        <v>5300000</v>
      </c>
      <c r="Q20" s="110">
        <f t="shared" si="20"/>
        <v>0.7075471698</v>
      </c>
    </row>
    <row r="22">
      <c r="A22" s="89"/>
    </row>
    <row r="23">
      <c r="A23" s="89"/>
      <c r="C23" s="111" t="s">
        <v>49</v>
      </c>
      <c r="D23" s="111" t="s">
        <v>50</v>
      </c>
      <c r="E23" s="111" t="s">
        <v>51</v>
      </c>
      <c r="F23" s="111" t="s">
        <v>52</v>
      </c>
      <c r="G23" s="112" t="s">
        <v>6</v>
      </c>
    </row>
    <row r="24">
      <c r="B24" s="89" t="s">
        <v>59</v>
      </c>
      <c r="C24" s="89">
        <v>250.0</v>
      </c>
      <c r="D24" s="89">
        <v>260.0</v>
      </c>
      <c r="E24" s="89">
        <v>240.0</v>
      </c>
    </row>
    <row r="25">
      <c r="A25" s="113"/>
      <c r="B25" s="105" t="s">
        <v>60</v>
      </c>
      <c r="C25" s="114">
        <f t="shared" ref="C25:F25" si="35">C28/C24</f>
        <v>0.048</v>
      </c>
      <c r="D25" s="115">
        <f t="shared" si="35"/>
        <v>0.05769230769</v>
      </c>
      <c r="E25" s="116">
        <f t="shared" si="35"/>
        <v>0.08333333333</v>
      </c>
      <c r="F25" s="117" t="str">
        <f t="shared" si="35"/>
        <v>#DIV/0!</v>
      </c>
      <c r="G25" s="118">
        <v>0.07</v>
      </c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</row>
    <row r="26">
      <c r="B26" s="89" t="s">
        <v>61</v>
      </c>
      <c r="C26" s="89">
        <v>80.0</v>
      </c>
      <c r="D26" s="89">
        <v>60.0</v>
      </c>
      <c r="E26" s="89">
        <v>70.0</v>
      </c>
    </row>
    <row r="27">
      <c r="A27" s="113"/>
      <c r="B27" s="105" t="s">
        <v>62</v>
      </c>
      <c r="C27" s="114">
        <f t="shared" ref="C27:F27" si="36">C28/C26</f>
        <v>0.15</v>
      </c>
      <c r="D27" s="115">
        <f t="shared" si="36"/>
        <v>0.25</v>
      </c>
      <c r="E27" s="116">
        <f t="shared" si="36"/>
        <v>0.2857142857</v>
      </c>
      <c r="F27" s="117" t="str">
        <f t="shared" si="36"/>
        <v>#DIV/0!</v>
      </c>
      <c r="G27" s="118">
        <v>0.3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</row>
    <row r="28">
      <c r="A28" s="89"/>
      <c r="B28" s="89" t="s">
        <v>63</v>
      </c>
      <c r="C28" s="89">
        <v>12.0</v>
      </c>
      <c r="D28" s="89">
        <v>15.0</v>
      </c>
      <c r="E28" s="89">
        <v>20.0</v>
      </c>
    </row>
    <row r="30">
      <c r="A30" s="89"/>
      <c r="B30" s="89" t="s">
        <v>64</v>
      </c>
      <c r="C30" s="98">
        <v>120000.0</v>
      </c>
      <c r="D30" s="98">
        <v>130000.0</v>
      </c>
      <c r="E30" s="98">
        <v>125000.0</v>
      </c>
      <c r="G30" s="119">
        <v>90000.0</v>
      </c>
    </row>
    <row r="31">
      <c r="A31" s="1"/>
      <c r="B31" s="89" t="s">
        <v>45</v>
      </c>
      <c r="C31" s="98">
        <v>45000.0</v>
      </c>
      <c r="D31" s="98">
        <v>50000.0</v>
      </c>
      <c r="E31" s="98">
        <v>55000.0</v>
      </c>
      <c r="G31" s="119">
        <v>30000.0</v>
      </c>
    </row>
    <row r="32">
      <c r="A32" s="1"/>
      <c r="B32" s="120" t="s">
        <v>65</v>
      </c>
      <c r="C32" s="121">
        <f t="shared" ref="C32:F32" si="37">C30/C31</f>
        <v>2.666666667</v>
      </c>
      <c r="D32" s="121">
        <f t="shared" si="37"/>
        <v>2.6</v>
      </c>
      <c r="E32" s="122">
        <f t="shared" si="37"/>
        <v>2.272727273</v>
      </c>
      <c r="F32" s="123" t="str">
        <f t="shared" si="37"/>
        <v>#DIV/0!</v>
      </c>
      <c r="G32" s="124">
        <v>3.0</v>
      </c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</row>
    <row r="33">
      <c r="A33" s="1"/>
      <c r="B33" s="89" t="s">
        <v>66</v>
      </c>
      <c r="C33" s="125">
        <f t="shared" ref="C33:F33" si="38">C31/(C30/(C79*12))</f>
        <v>6.955177743</v>
      </c>
      <c r="D33" s="125">
        <f t="shared" si="38"/>
        <v>6.865067106</v>
      </c>
      <c r="E33" s="125">
        <f t="shared" si="38"/>
        <v>7.853636769</v>
      </c>
      <c r="F33" s="125" t="str">
        <f t="shared" si="38"/>
        <v>#DIV/0!</v>
      </c>
    </row>
    <row r="34">
      <c r="A34" s="1"/>
    </row>
    <row r="35">
      <c r="A35" s="1"/>
      <c r="B35" s="1"/>
    </row>
    <row r="36">
      <c r="A36" s="1"/>
      <c r="B36" s="1" t="s">
        <v>67</v>
      </c>
    </row>
    <row r="38">
      <c r="A38" s="96"/>
      <c r="B38" s="104" t="s">
        <v>68</v>
      </c>
    </row>
    <row r="39">
      <c r="C39" s="111" t="s">
        <v>49</v>
      </c>
      <c r="D39" s="111" t="s">
        <v>50</v>
      </c>
      <c r="E39" s="111" t="s">
        <v>51</v>
      </c>
      <c r="F39" s="111" t="s">
        <v>52</v>
      </c>
      <c r="G39" s="111" t="s">
        <v>53</v>
      </c>
      <c r="H39" s="112" t="s">
        <v>6</v>
      </c>
    </row>
    <row r="40">
      <c r="A40" s="89"/>
      <c r="B40" s="89" t="s">
        <v>69</v>
      </c>
      <c r="C40" s="89">
        <v>10.0</v>
      </c>
      <c r="D40" s="89">
        <v>5.0</v>
      </c>
      <c r="E40" s="89">
        <v>15.0</v>
      </c>
      <c r="F40" s="89">
        <v>20.0</v>
      </c>
      <c r="G40" s="126">
        <f t="shared" ref="G40:G41" si="39">SUM(C40:F40)</f>
        <v>50</v>
      </c>
    </row>
    <row r="41">
      <c r="A41" s="89"/>
      <c r="B41" s="89" t="s">
        <v>70</v>
      </c>
      <c r="C41" s="89">
        <v>8.0</v>
      </c>
      <c r="D41" s="89">
        <v>2.0</v>
      </c>
      <c r="E41" s="89">
        <v>10.0</v>
      </c>
      <c r="G41" s="126">
        <f t="shared" si="39"/>
        <v>20</v>
      </c>
    </row>
    <row r="42">
      <c r="A42" s="105"/>
      <c r="B42" s="105" t="s">
        <v>8</v>
      </c>
      <c r="C42" s="127">
        <f t="shared" ref="C42:G42" si="40">C41/C40</f>
        <v>0.8</v>
      </c>
      <c r="D42" s="128">
        <f t="shared" si="40"/>
        <v>0.4</v>
      </c>
      <c r="E42" s="127">
        <f t="shared" si="40"/>
        <v>0.6666666667</v>
      </c>
      <c r="F42" s="129">
        <f t="shared" si="40"/>
        <v>0</v>
      </c>
      <c r="G42" s="129">
        <f t="shared" si="40"/>
        <v>0.4</v>
      </c>
      <c r="H42" s="130">
        <v>0.65</v>
      </c>
    </row>
    <row r="43">
      <c r="A43" s="89"/>
      <c r="B43" s="89" t="s">
        <v>71</v>
      </c>
      <c r="C43" s="98">
        <v>1279500.0</v>
      </c>
      <c r="D43" s="98">
        <v>500000.0</v>
      </c>
      <c r="E43" s="98">
        <v>1195500.0</v>
      </c>
      <c r="F43" s="98">
        <v>2000000.0</v>
      </c>
      <c r="G43" s="101">
        <f t="shared" ref="G43:G46" si="41">SUM(C43:F43)</f>
        <v>4975000</v>
      </c>
    </row>
    <row r="44">
      <c r="A44" s="89"/>
      <c r="B44" s="89" t="s">
        <v>72</v>
      </c>
      <c r="C44" s="98">
        <v>1000000.0</v>
      </c>
      <c r="D44" s="98">
        <v>250000.0</v>
      </c>
      <c r="E44" s="98">
        <v>800000.0</v>
      </c>
      <c r="F44" s="98"/>
      <c r="G44" s="101">
        <f t="shared" si="41"/>
        <v>2050000</v>
      </c>
    </row>
    <row r="45">
      <c r="A45" s="89"/>
      <c r="B45" s="89" t="s">
        <v>73</v>
      </c>
      <c r="C45" s="98">
        <v>60000.0</v>
      </c>
      <c r="D45" s="98">
        <v>0.0</v>
      </c>
      <c r="E45" s="98">
        <v>0.0</v>
      </c>
      <c r="F45" s="98"/>
      <c r="G45" s="101">
        <f t="shared" si="41"/>
        <v>60000</v>
      </c>
    </row>
    <row r="46">
      <c r="A46" s="89"/>
      <c r="B46" s="89" t="s">
        <v>74</v>
      </c>
      <c r="C46" s="98">
        <f t="shared" ref="C46:E46" si="42">C43-C44</f>
        <v>279500</v>
      </c>
      <c r="D46" s="98">
        <f t="shared" si="42"/>
        <v>250000</v>
      </c>
      <c r="E46" s="98">
        <f t="shared" si="42"/>
        <v>395500</v>
      </c>
      <c r="F46" s="98"/>
      <c r="G46" s="101">
        <f t="shared" si="41"/>
        <v>925000</v>
      </c>
    </row>
    <row r="47">
      <c r="A47" s="105"/>
      <c r="B47" s="105" t="s">
        <v>12</v>
      </c>
      <c r="C47" s="127">
        <f t="shared" ref="C47:G47" si="43">SUM(C44:C45)/C43</f>
        <v>0.8284486127</v>
      </c>
      <c r="D47" s="128">
        <f t="shared" si="43"/>
        <v>0.5</v>
      </c>
      <c r="E47" s="127">
        <f t="shared" si="43"/>
        <v>0.669176077</v>
      </c>
      <c r="F47" s="129">
        <f t="shared" si="43"/>
        <v>0</v>
      </c>
      <c r="G47" s="129">
        <f t="shared" si="43"/>
        <v>0.424120603</v>
      </c>
      <c r="H47" s="130">
        <v>0.65</v>
      </c>
    </row>
    <row r="49">
      <c r="A49" s="89"/>
      <c r="B49" s="89" t="s">
        <v>75</v>
      </c>
      <c r="C49" s="89">
        <v>8.0</v>
      </c>
      <c r="D49" s="89">
        <v>2.0</v>
      </c>
      <c r="E49" s="89">
        <v>0.0</v>
      </c>
      <c r="F49" s="89">
        <v>5.0</v>
      </c>
      <c r="G49" s="126">
        <f t="shared" ref="G49:G50" si="44">SUM(C49:F49)</f>
        <v>15</v>
      </c>
    </row>
    <row r="50">
      <c r="A50" s="89"/>
      <c r="B50" s="89" t="s">
        <v>76</v>
      </c>
      <c r="C50" s="89">
        <v>7.0</v>
      </c>
      <c r="D50" s="89">
        <v>1.0</v>
      </c>
      <c r="E50" s="89">
        <v>0.0</v>
      </c>
      <c r="G50" s="126">
        <f t="shared" si="44"/>
        <v>8</v>
      </c>
    </row>
    <row r="51">
      <c r="A51" s="105"/>
      <c r="B51" s="105" t="s">
        <v>16</v>
      </c>
      <c r="C51" s="127">
        <f t="shared" ref="C51:G51" si="45">C50/C49</f>
        <v>0.875</v>
      </c>
      <c r="D51" s="128">
        <f t="shared" si="45"/>
        <v>0.5</v>
      </c>
      <c r="E51" s="129" t="str">
        <f t="shared" si="45"/>
        <v>#DIV/0!</v>
      </c>
      <c r="F51" s="129">
        <f t="shared" si="45"/>
        <v>0</v>
      </c>
      <c r="G51" s="129">
        <f t="shared" si="45"/>
        <v>0.5333333333</v>
      </c>
      <c r="H51" s="130">
        <v>0.8</v>
      </c>
    </row>
    <row r="52">
      <c r="A52" s="89"/>
      <c r="B52" s="89" t="s">
        <v>77</v>
      </c>
      <c r="C52" s="98">
        <v>900000.0</v>
      </c>
      <c r="D52" s="98">
        <v>162000.0</v>
      </c>
      <c r="E52" s="98">
        <v>0.0</v>
      </c>
      <c r="F52" s="98">
        <v>450000.0</v>
      </c>
      <c r="G52" s="101">
        <f t="shared" ref="G52:G53" si="46">SUM(C52:F52)</f>
        <v>1512000</v>
      </c>
    </row>
    <row r="53">
      <c r="A53" s="89"/>
      <c r="B53" s="89" t="s">
        <v>78</v>
      </c>
      <c r="C53" s="98">
        <v>825000.0</v>
      </c>
      <c r="D53" s="98">
        <v>81000.0</v>
      </c>
      <c r="E53" s="98">
        <v>0.0</v>
      </c>
      <c r="F53" s="98"/>
      <c r="G53" s="101">
        <f t="shared" si="46"/>
        <v>906000</v>
      </c>
    </row>
    <row r="54">
      <c r="A54" s="105"/>
      <c r="B54" s="105" t="s">
        <v>20</v>
      </c>
      <c r="C54" s="127">
        <f t="shared" ref="C54:G54" si="47">C53/C52</f>
        <v>0.9166666667</v>
      </c>
      <c r="D54" s="128">
        <f t="shared" si="47"/>
        <v>0.5</v>
      </c>
      <c r="E54" s="129" t="str">
        <f t="shared" si="47"/>
        <v>#DIV/0!</v>
      </c>
      <c r="F54" s="129">
        <f t="shared" si="47"/>
        <v>0</v>
      </c>
      <c r="G54" s="129">
        <f t="shared" si="47"/>
        <v>0.5992063492</v>
      </c>
      <c r="H54" s="130">
        <v>0.8</v>
      </c>
    </row>
    <row r="57">
      <c r="A57" s="96"/>
      <c r="B57" s="104" t="s">
        <v>79</v>
      </c>
    </row>
    <row r="58">
      <c r="C58" s="111" t="s">
        <v>49</v>
      </c>
      <c r="D58" s="111" t="s">
        <v>50</v>
      </c>
      <c r="E58" s="111" t="s">
        <v>51</v>
      </c>
      <c r="F58" s="111" t="s">
        <v>52</v>
      </c>
      <c r="G58" s="112" t="s">
        <v>6</v>
      </c>
    </row>
    <row r="59">
      <c r="A59" s="105"/>
      <c r="B59" s="105" t="s">
        <v>80</v>
      </c>
    </row>
    <row r="60">
      <c r="A60" s="89"/>
      <c r="B60" s="89" t="s">
        <v>81</v>
      </c>
      <c r="C60" s="98">
        <v>1000000.0</v>
      </c>
      <c r="D60" s="98">
        <f t="shared" ref="D60:E60" si="48">C60+50000</f>
        <v>1050000</v>
      </c>
      <c r="E60" s="98">
        <f t="shared" si="48"/>
        <v>1100000</v>
      </c>
    </row>
    <row r="61">
      <c r="A61" s="89"/>
      <c r="B61" s="89" t="s">
        <v>82</v>
      </c>
      <c r="C61" s="98">
        <v>-10000.0</v>
      </c>
      <c r="D61" s="98">
        <v>-20000.0</v>
      </c>
      <c r="E61" s="98">
        <v>-30000.0</v>
      </c>
    </row>
    <row r="62">
      <c r="A62" s="105"/>
      <c r="B62" s="105" t="s">
        <v>83</v>
      </c>
      <c r="C62" s="116">
        <f t="shared" ref="C62:E62" si="49">1+(C61/C60)</f>
        <v>0.99</v>
      </c>
      <c r="D62" s="116">
        <f t="shared" si="49"/>
        <v>0.980952381</v>
      </c>
      <c r="E62" s="116">
        <f t="shared" si="49"/>
        <v>0.9727272727</v>
      </c>
      <c r="F62" s="113"/>
      <c r="G62" s="118">
        <v>0.96</v>
      </c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</row>
    <row r="63">
      <c r="G63" s="131"/>
    </row>
    <row r="64">
      <c r="A64" s="105"/>
      <c r="B64" s="105" t="s">
        <v>84</v>
      </c>
      <c r="G64" s="131"/>
    </row>
    <row r="65">
      <c r="A65" s="89"/>
      <c r="B65" s="89" t="s">
        <v>81</v>
      </c>
      <c r="C65" s="98">
        <v>1000000.0</v>
      </c>
      <c r="D65" s="98">
        <f t="shared" ref="D65:E65" si="50">C65-50000</f>
        <v>950000</v>
      </c>
      <c r="E65" s="98">
        <f t="shared" si="50"/>
        <v>900000</v>
      </c>
      <c r="G65" s="131"/>
    </row>
    <row r="66">
      <c r="A66" s="89"/>
      <c r="B66" s="89" t="s">
        <v>82</v>
      </c>
      <c r="C66" s="98">
        <v>-40000.0</v>
      </c>
      <c r="D66" s="98">
        <v>-35000.0</v>
      </c>
      <c r="E66" s="98">
        <v>-50000.0</v>
      </c>
      <c r="G66" s="131"/>
    </row>
    <row r="67">
      <c r="A67" s="105"/>
      <c r="B67" s="105" t="s">
        <v>83</v>
      </c>
      <c r="C67" s="116">
        <f t="shared" ref="C67:E67" si="51">1+(C66/C65)</f>
        <v>0.96</v>
      </c>
      <c r="D67" s="116">
        <f t="shared" si="51"/>
        <v>0.9631578947</v>
      </c>
      <c r="E67" s="115">
        <f t="shared" si="51"/>
        <v>0.9444444444</v>
      </c>
      <c r="F67" s="113"/>
      <c r="G67" s="118">
        <v>0.96</v>
      </c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</row>
    <row r="68">
      <c r="G68" s="131"/>
    </row>
    <row r="69">
      <c r="A69" s="105"/>
      <c r="B69" s="105" t="s">
        <v>85</v>
      </c>
      <c r="G69" s="131"/>
    </row>
    <row r="70">
      <c r="A70" s="89"/>
      <c r="B70" s="89" t="s">
        <v>81</v>
      </c>
      <c r="C70" s="98">
        <v>1000000.0</v>
      </c>
      <c r="D70" s="98">
        <f>C70+50000</f>
        <v>1050000</v>
      </c>
      <c r="E70" s="101">
        <f>D70-50000</f>
        <v>1000000</v>
      </c>
      <c r="G70" s="131"/>
    </row>
    <row r="71">
      <c r="A71" s="89"/>
      <c r="B71" s="89" t="s">
        <v>82</v>
      </c>
      <c r="C71" s="98">
        <v>-50000.0</v>
      </c>
      <c r="D71" s="98">
        <v>-75000.0</v>
      </c>
      <c r="E71" s="98">
        <v>-100000.0</v>
      </c>
      <c r="G71" s="131"/>
    </row>
    <row r="72">
      <c r="A72" s="105"/>
      <c r="B72" s="105" t="s">
        <v>83</v>
      </c>
      <c r="C72" s="115">
        <f t="shared" ref="C72:E72" si="52">1+(C71/C70)</f>
        <v>0.95</v>
      </c>
      <c r="D72" s="114">
        <f t="shared" si="52"/>
        <v>0.9285714286</v>
      </c>
      <c r="E72" s="114">
        <f t="shared" si="52"/>
        <v>0.9</v>
      </c>
      <c r="F72" s="113"/>
      <c r="G72" s="118">
        <v>0.96</v>
      </c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</row>
    <row r="73">
      <c r="G73" s="131"/>
    </row>
    <row r="74">
      <c r="A74" s="105"/>
      <c r="B74" s="105" t="s">
        <v>86</v>
      </c>
      <c r="G74" s="131"/>
    </row>
    <row r="75">
      <c r="A75" s="89"/>
      <c r="B75" s="89" t="s">
        <v>81</v>
      </c>
      <c r="C75" s="101">
        <f t="shared" ref="C75:E75" si="53">SUM(C70,C65,C60)</f>
        <v>3000000</v>
      </c>
      <c r="D75" s="101">
        <f t="shared" si="53"/>
        <v>3050000</v>
      </c>
      <c r="E75" s="101">
        <f t="shared" si="53"/>
        <v>3000000</v>
      </c>
      <c r="G75" s="131"/>
    </row>
    <row r="76">
      <c r="A76" s="89"/>
      <c r="B76" s="89" t="s">
        <v>82</v>
      </c>
      <c r="C76" s="101">
        <f t="shared" ref="C76:E76" si="54">SUM(C71,C66,C61)</f>
        <v>-100000</v>
      </c>
      <c r="D76" s="101">
        <f t="shared" si="54"/>
        <v>-130000</v>
      </c>
      <c r="E76" s="101">
        <f t="shared" si="54"/>
        <v>-180000</v>
      </c>
      <c r="G76" s="131"/>
    </row>
    <row r="77">
      <c r="A77" s="105"/>
      <c r="B77" s="105" t="s">
        <v>83</v>
      </c>
      <c r="C77" s="116">
        <f t="shared" ref="C77:E77" si="55">1+(C76/C75)</f>
        <v>0.9666666667</v>
      </c>
      <c r="D77" s="116">
        <f t="shared" si="55"/>
        <v>0.9573770492</v>
      </c>
      <c r="E77" s="115">
        <f t="shared" si="55"/>
        <v>0.94</v>
      </c>
      <c r="F77" s="113"/>
      <c r="G77" s="118">
        <v>0.96</v>
      </c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</row>
    <row r="78">
      <c r="A78" s="89"/>
      <c r="B78" s="89" t="s">
        <v>87</v>
      </c>
      <c r="C78" s="132">
        <v>0.353</v>
      </c>
      <c r="D78" s="132">
        <v>0.3277</v>
      </c>
      <c r="E78" s="132">
        <v>0.3277</v>
      </c>
    </row>
    <row r="79">
      <c r="A79" s="89"/>
      <c r="B79" s="89" t="s">
        <v>88</v>
      </c>
      <c r="C79" s="133">
        <f t="shared" ref="C79:E79" si="56">1/(1-C78)</f>
        <v>1.545595054</v>
      </c>
      <c r="D79" s="133">
        <f t="shared" si="56"/>
        <v>1.487431206</v>
      </c>
      <c r="E79" s="133">
        <f t="shared" si="56"/>
        <v>1.487431206</v>
      </c>
    </row>
    <row r="81">
      <c r="A81" s="1"/>
      <c r="B81" s="1" t="s">
        <v>2</v>
      </c>
    </row>
    <row r="83">
      <c r="A83" s="96"/>
      <c r="B83" s="134" t="s">
        <v>89</v>
      </c>
    </row>
    <row r="84">
      <c r="C84" s="135" t="s">
        <v>49</v>
      </c>
      <c r="D84" s="91"/>
      <c r="E84" s="92"/>
      <c r="F84" s="135" t="s">
        <v>50</v>
      </c>
      <c r="G84" s="91"/>
      <c r="H84" s="92"/>
      <c r="I84" s="90" t="s">
        <v>51</v>
      </c>
      <c r="J84" s="91"/>
      <c r="K84" s="92"/>
      <c r="L84" s="90" t="s">
        <v>52</v>
      </c>
      <c r="M84" s="91"/>
      <c r="N84" s="92"/>
      <c r="O84" s="90" t="s">
        <v>53</v>
      </c>
      <c r="P84" s="91"/>
      <c r="Q84" s="92"/>
    </row>
    <row r="85">
      <c r="C85" s="93" t="s">
        <v>54</v>
      </c>
      <c r="D85" s="94" t="s">
        <v>6</v>
      </c>
      <c r="E85" s="95" t="s">
        <v>55</v>
      </c>
      <c r="F85" s="93" t="s">
        <v>54</v>
      </c>
      <c r="G85" s="94" t="s">
        <v>6</v>
      </c>
      <c r="H85" s="95" t="s">
        <v>55</v>
      </c>
      <c r="I85" s="93" t="s">
        <v>54</v>
      </c>
      <c r="J85" s="94" t="s">
        <v>6</v>
      </c>
      <c r="K85" s="95" t="s">
        <v>55</v>
      </c>
      <c r="L85" s="93" t="s">
        <v>54</v>
      </c>
      <c r="M85" s="94" t="s">
        <v>6</v>
      </c>
      <c r="N85" s="95" t="s">
        <v>55</v>
      </c>
      <c r="O85" s="93" t="s">
        <v>54</v>
      </c>
      <c r="P85" s="94" t="s">
        <v>6</v>
      </c>
      <c r="Q85" s="95" t="s">
        <v>55</v>
      </c>
    </row>
    <row r="86">
      <c r="A86" s="89"/>
      <c r="B86" s="89" t="s">
        <v>90</v>
      </c>
      <c r="C86" s="98">
        <v>3500000.0</v>
      </c>
      <c r="D86" s="98">
        <v>3750000.0</v>
      </c>
      <c r="E86" s="99">
        <f t="shared" ref="E86:E90" si="59">C86/D86</f>
        <v>0.9333333333</v>
      </c>
      <c r="F86" s="98">
        <f t="shared" ref="F86:G86" si="57">C86+100000</f>
        <v>3600000</v>
      </c>
      <c r="G86" s="98">
        <f t="shared" si="57"/>
        <v>3850000</v>
      </c>
      <c r="H86" s="99">
        <f t="shared" ref="H86:H90" si="60">F86/G86</f>
        <v>0.9350649351</v>
      </c>
      <c r="I86" s="98">
        <v>3800000.0</v>
      </c>
      <c r="J86" s="98">
        <f>G86+100000</f>
        <v>3950000</v>
      </c>
      <c r="K86" s="100">
        <f t="shared" ref="K86:K90" si="61">I86/J86</f>
        <v>0.9620253165</v>
      </c>
      <c r="M86" s="98">
        <f>J86+100000</f>
        <v>4050000</v>
      </c>
      <c r="N86" s="102">
        <f t="shared" ref="N86:N90" si="62">L86/M86</f>
        <v>0</v>
      </c>
      <c r="O86" s="101">
        <f t="shared" ref="O86:P86" si="58">SUM(L86,I86,F86,C86)</f>
        <v>10900000</v>
      </c>
      <c r="P86" s="101">
        <f t="shared" si="58"/>
        <v>15600000</v>
      </c>
      <c r="Q86" s="102">
        <f t="shared" ref="Q86:Q90" si="64">O86/P86</f>
        <v>0.6987179487</v>
      </c>
    </row>
    <row r="87">
      <c r="A87" s="89"/>
      <c r="B87" s="89" t="s">
        <v>91</v>
      </c>
      <c r="C87" s="98">
        <v>1900000.0</v>
      </c>
      <c r="D87" s="98">
        <v>2000000.0</v>
      </c>
      <c r="E87" s="100">
        <f t="shared" si="59"/>
        <v>0.95</v>
      </c>
      <c r="F87" s="98">
        <v>2000000.0</v>
      </c>
      <c r="G87" s="98">
        <f>D87+70000</f>
        <v>2070000</v>
      </c>
      <c r="H87" s="100">
        <f t="shared" si="60"/>
        <v>0.9661835749</v>
      </c>
      <c r="I87" s="98">
        <v>1900000.0</v>
      </c>
      <c r="J87" s="98">
        <f>G87+70000</f>
        <v>2140000</v>
      </c>
      <c r="K87" s="103">
        <f t="shared" si="61"/>
        <v>0.8878504673</v>
      </c>
      <c r="M87" s="98">
        <f>J87+70000</f>
        <v>2210000</v>
      </c>
      <c r="N87" s="102">
        <f t="shared" si="62"/>
        <v>0</v>
      </c>
      <c r="O87" s="101">
        <f t="shared" ref="O87:P87" si="63">SUM(L87,I87,F87,C87)</f>
        <v>5800000</v>
      </c>
      <c r="P87" s="101">
        <f t="shared" si="63"/>
        <v>8420000</v>
      </c>
      <c r="Q87" s="102">
        <f t="shared" si="64"/>
        <v>0.6888361045</v>
      </c>
    </row>
    <row r="88">
      <c r="A88" s="105"/>
      <c r="B88" s="105" t="s">
        <v>9</v>
      </c>
      <c r="C88" s="117">
        <f t="shared" ref="C88:D88" si="65">C87/C86</f>
        <v>0.5428571429</v>
      </c>
      <c r="D88" s="117">
        <f t="shared" si="65"/>
        <v>0.5333333333</v>
      </c>
      <c r="E88" s="127">
        <f t="shared" si="59"/>
        <v>1.017857143</v>
      </c>
      <c r="F88" s="117">
        <f t="shared" ref="F88:G88" si="66">F87/F86</f>
        <v>0.5555555556</v>
      </c>
      <c r="G88" s="117">
        <f t="shared" si="66"/>
        <v>0.5376623377</v>
      </c>
      <c r="H88" s="127">
        <f t="shared" si="60"/>
        <v>1.033279656</v>
      </c>
      <c r="I88" s="117">
        <f t="shared" ref="I88:J88" si="67">I87/I86</f>
        <v>0.5</v>
      </c>
      <c r="J88" s="117">
        <f t="shared" si="67"/>
        <v>0.5417721519</v>
      </c>
      <c r="K88" s="136">
        <f t="shared" si="61"/>
        <v>0.9228971963</v>
      </c>
      <c r="L88" s="117" t="str">
        <f t="shared" ref="L88:M88" si="68">L87/L86</f>
        <v>#DIV/0!</v>
      </c>
      <c r="M88" s="117">
        <f t="shared" si="68"/>
        <v>0.5456790123</v>
      </c>
      <c r="N88" s="129" t="str">
        <f t="shared" si="62"/>
        <v>#DIV/0!</v>
      </c>
      <c r="O88" s="117">
        <f t="shared" ref="O88:P88" si="69">O87/O86</f>
        <v>0.5321100917</v>
      </c>
      <c r="P88" s="117">
        <f t="shared" si="69"/>
        <v>0.5397435897</v>
      </c>
      <c r="Q88" s="129">
        <f t="shared" si="64"/>
        <v>0.9858571771</v>
      </c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>
      <c r="A89" s="89"/>
      <c r="B89" s="89" t="s">
        <v>92</v>
      </c>
      <c r="C89" s="98">
        <v>750000.0</v>
      </c>
      <c r="D89" s="98">
        <v>800000.0</v>
      </c>
      <c r="E89" s="99">
        <f t="shared" si="59"/>
        <v>0.9375</v>
      </c>
      <c r="F89" s="98">
        <v>700000.0</v>
      </c>
      <c r="G89" s="98">
        <v>850000.0</v>
      </c>
      <c r="H89" s="103">
        <f t="shared" si="60"/>
        <v>0.8235294118</v>
      </c>
      <c r="I89" s="98">
        <v>775000.0</v>
      </c>
      <c r="J89" s="98">
        <v>875000.0</v>
      </c>
      <c r="K89" s="103">
        <f t="shared" si="61"/>
        <v>0.8857142857</v>
      </c>
      <c r="M89" s="98">
        <v>920000.0</v>
      </c>
      <c r="N89" s="102">
        <f t="shared" si="62"/>
        <v>0</v>
      </c>
      <c r="O89" s="101">
        <f t="shared" ref="O89:P89" si="70">SUM(L89,I89,F89,C89)</f>
        <v>2225000</v>
      </c>
      <c r="P89" s="101">
        <f t="shared" si="70"/>
        <v>3445000</v>
      </c>
      <c r="Q89" s="102">
        <f t="shared" si="64"/>
        <v>0.6458635704</v>
      </c>
    </row>
    <row r="90">
      <c r="A90" s="105"/>
      <c r="B90" s="105" t="s">
        <v>13</v>
      </c>
      <c r="C90" s="117">
        <f t="shared" ref="C90:D90" si="71">C89/C86</f>
        <v>0.2142857143</v>
      </c>
      <c r="D90" s="117">
        <f t="shared" si="71"/>
        <v>0.2133333333</v>
      </c>
      <c r="E90" s="127">
        <f t="shared" si="59"/>
        <v>1.004464286</v>
      </c>
      <c r="F90" s="117">
        <f t="shared" ref="F90:G90" si="72">F89/F86</f>
        <v>0.1944444444</v>
      </c>
      <c r="G90" s="117">
        <f t="shared" si="72"/>
        <v>0.2207792208</v>
      </c>
      <c r="H90" s="128">
        <f t="shared" si="60"/>
        <v>0.8807189542</v>
      </c>
      <c r="I90" s="117">
        <f t="shared" ref="I90:J90" si="73">I89/I86</f>
        <v>0.2039473684</v>
      </c>
      <c r="J90" s="117">
        <f t="shared" si="73"/>
        <v>0.2215189873</v>
      </c>
      <c r="K90" s="136">
        <f t="shared" si="61"/>
        <v>0.9206766917</v>
      </c>
      <c r="L90" s="117" t="str">
        <f t="shared" ref="L90:M90" si="74">L89/L86</f>
        <v>#DIV/0!</v>
      </c>
      <c r="M90" s="117">
        <f t="shared" si="74"/>
        <v>0.2271604938</v>
      </c>
      <c r="N90" s="129" t="str">
        <f t="shared" si="62"/>
        <v>#DIV/0!</v>
      </c>
      <c r="O90" s="117">
        <f t="shared" ref="O90:P90" si="75">O89/O86</f>
        <v>0.2041284404</v>
      </c>
      <c r="P90" s="117">
        <f t="shared" si="75"/>
        <v>0.2208333333</v>
      </c>
      <c r="Q90" s="129">
        <f t="shared" si="64"/>
        <v>0.9243552017</v>
      </c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</row>
    <row r="92">
      <c r="B92" s="89" t="s">
        <v>93</v>
      </c>
    </row>
    <row r="93">
      <c r="C93" s="111" t="s">
        <v>49</v>
      </c>
      <c r="D93" s="111" t="s">
        <v>50</v>
      </c>
      <c r="E93" s="111" t="s">
        <v>51</v>
      </c>
      <c r="F93" s="111" t="s">
        <v>52</v>
      </c>
      <c r="G93" s="112" t="s">
        <v>6</v>
      </c>
    </row>
    <row r="94">
      <c r="A94" s="89"/>
      <c r="B94" s="89" t="s">
        <v>94</v>
      </c>
      <c r="C94" s="98">
        <v>2000000.0</v>
      </c>
      <c r="D94" s="98">
        <v>1750000.0</v>
      </c>
      <c r="E94" s="98">
        <v>2100000.0</v>
      </c>
      <c r="F94" s="98"/>
    </row>
    <row r="95">
      <c r="A95" s="89"/>
      <c r="B95" s="89" t="s">
        <v>95</v>
      </c>
      <c r="C95" s="98">
        <v>200000.0</v>
      </c>
      <c r="D95" s="98">
        <f t="shared" ref="D95:E95" si="76">D94-C94</f>
        <v>-250000</v>
      </c>
      <c r="E95" s="98">
        <f t="shared" si="76"/>
        <v>350000</v>
      </c>
      <c r="F95" s="98"/>
    </row>
    <row r="97">
      <c r="A97" s="89"/>
      <c r="B97" s="89" t="s">
        <v>96</v>
      </c>
      <c r="C97" s="98">
        <v>3.2E7</v>
      </c>
      <c r="D97" s="98">
        <v>3.25E7</v>
      </c>
      <c r="E97" s="98">
        <v>3.27E7</v>
      </c>
    </row>
    <row r="98">
      <c r="A98" s="96"/>
      <c r="B98" s="104" t="s">
        <v>97</v>
      </c>
      <c r="C98" s="89">
        <v>165.0</v>
      </c>
      <c r="D98" s="89">
        <v>162.0</v>
      </c>
      <c r="E98" s="89">
        <v>166.0</v>
      </c>
    </row>
    <row r="99">
      <c r="A99" s="105"/>
      <c r="B99" s="105" t="s">
        <v>98</v>
      </c>
      <c r="C99" s="137">
        <f t="shared" ref="C99:E99" si="77">C97/C98</f>
        <v>193939.3939</v>
      </c>
      <c r="D99" s="137">
        <f t="shared" si="77"/>
        <v>200617.284</v>
      </c>
      <c r="E99" s="137">
        <f t="shared" si="77"/>
        <v>196987.9518</v>
      </c>
      <c r="F99" s="113"/>
      <c r="G99" s="119">
        <v>200000.0</v>
      </c>
    </row>
    <row r="101">
      <c r="A101" s="89"/>
      <c r="B101" s="89" t="s">
        <v>99</v>
      </c>
    </row>
    <row r="102">
      <c r="C102" s="138" t="s">
        <v>49</v>
      </c>
      <c r="D102" s="138" t="s">
        <v>50</v>
      </c>
      <c r="E102" s="111" t="s">
        <v>51</v>
      </c>
      <c r="F102" s="111" t="s">
        <v>52</v>
      </c>
      <c r="G102" s="112" t="s">
        <v>6</v>
      </c>
    </row>
    <row r="103">
      <c r="A103" s="89"/>
      <c r="B103" s="89" t="s">
        <v>3</v>
      </c>
      <c r="C103" s="139">
        <f>1-C88</f>
        <v>0.4571428571</v>
      </c>
      <c r="D103" s="139">
        <f>1-F88</f>
        <v>0.4444444444</v>
      </c>
      <c r="E103" s="140">
        <f>1-I88</f>
        <v>0.5</v>
      </c>
      <c r="G103" s="141">
        <f>1-M88</f>
        <v>0.4543209877</v>
      </c>
    </row>
    <row r="104">
      <c r="A104" s="89"/>
      <c r="B104" s="89" t="s">
        <v>100</v>
      </c>
      <c r="C104" s="139">
        <v>0.1</v>
      </c>
      <c r="D104" s="142">
        <v>0.116</v>
      </c>
      <c r="E104" s="139">
        <v>0.091</v>
      </c>
      <c r="G104" s="141">
        <v>0.099</v>
      </c>
    </row>
    <row r="105">
      <c r="A105" s="89"/>
      <c r="B105" s="89" t="s">
        <v>101</v>
      </c>
      <c r="C105" s="143">
        <v>0.12</v>
      </c>
      <c r="D105" s="142">
        <v>0.127</v>
      </c>
      <c r="E105" s="139">
        <v>0.11</v>
      </c>
      <c r="G105" s="141">
        <v>0.11</v>
      </c>
    </row>
    <row r="106">
      <c r="A106" s="89"/>
      <c r="B106" s="89" t="s">
        <v>102</v>
      </c>
      <c r="C106" s="143">
        <v>0.022</v>
      </c>
      <c r="D106" s="142">
        <v>0.024</v>
      </c>
      <c r="E106" s="143">
        <v>0.023</v>
      </c>
      <c r="G106" s="141">
        <v>0.02</v>
      </c>
    </row>
    <row r="107">
      <c r="A107" s="89"/>
      <c r="B107" s="89" t="s">
        <v>103</v>
      </c>
      <c r="C107" s="143">
        <v>0.054</v>
      </c>
      <c r="D107" s="143">
        <v>0.055</v>
      </c>
      <c r="E107" s="139">
        <v>0.042</v>
      </c>
      <c r="G107" s="141">
        <v>0.05</v>
      </c>
    </row>
    <row r="108">
      <c r="A108" s="89"/>
      <c r="B108" s="89" t="s">
        <v>104</v>
      </c>
      <c r="C108" s="139">
        <v>0.033</v>
      </c>
      <c r="D108" s="139">
        <v>0.04</v>
      </c>
      <c r="E108" s="139">
        <v>0.03</v>
      </c>
      <c r="G108" s="141">
        <v>0.04</v>
      </c>
    </row>
    <row r="109">
      <c r="A109" s="89"/>
      <c r="B109" s="106" t="s">
        <v>13</v>
      </c>
      <c r="C109" s="144">
        <f t="shared" ref="C109:E109" si="78">1-SUM(C103:C108)</f>
        <v>0.2138571429</v>
      </c>
      <c r="D109" s="145">
        <f t="shared" si="78"/>
        <v>0.1935555556</v>
      </c>
      <c r="E109" s="144">
        <f t="shared" si="78"/>
        <v>0.204</v>
      </c>
      <c r="F109" s="146"/>
      <c r="G109" s="147">
        <f>1-SUM(G103:G108)</f>
        <v>0.2266790123</v>
      </c>
    </row>
    <row r="112">
      <c r="B112" s="1" t="s">
        <v>3</v>
      </c>
    </row>
    <row r="114">
      <c r="B114" s="89" t="s">
        <v>105</v>
      </c>
    </row>
    <row r="115">
      <c r="C115" s="111" t="s">
        <v>49</v>
      </c>
      <c r="D115" s="111" t="s">
        <v>50</v>
      </c>
      <c r="E115" s="111" t="s">
        <v>51</v>
      </c>
      <c r="F115" s="111" t="s">
        <v>52</v>
      </c>
      <c r="G115" s="112" t="s">
        <v>6</v>
      </c>
    </row>
    <row r="116">
      <c r="B116" s="89" t="s">
        <v>80</v>
      </c>
      <c r="C116" s="143">
        <v>0.78</v>
      </c>
      <c r="D116" s="139">
        <v>0.893</v>
      </c>
      <c r="E116" s="139">
        <v>0.912</v>
      </c>
      <c r="F116" s="132"/>
      <c r="G116" s="118">
        <v>0.8</v>
      </c>
    </row>
    <row r="117">
      <c r="B117" s="89" t="s">
        <v>84</v>
      </c>
      <c r="C117" s="142">
        <v>0.71</v>
      </c>
      <c r="D117" s="142">
        <v>0.675</v>
      </c>
      <c r="E117" s="139">
        <v>0.836</v>
      </c>
      <c r="F117" s="132"/>
      <c r="G117" s="118">
        <v>0.8</v>
      </c>
    </row>
    <row r="118">
      <c r="B118" s="89" t="s">
        <v>106</v>
      </c>
      <c r="C118" s="142">
        <v>0.69</v>
      </c>
      <c r="D118" s="139">
        <v>0.883</v>
      </c>
      <c r="E118" s="143">
        <v>0.723</v>
      </c>
      <c r="F118" s="132"/>
      <c r="G118" s="118">
        <v>0.8</v>
      </c>
    </row>
    <row r="119">
      <c r="B119" s="89" t="s">
        <v>107</v>
      </c>
      <c r="C119" s="142">
        <v>0.65</v>
      </c>
      <c r="D119" s="142">
        <v>0.731</v>
      </c>
      <c r="E119" s="142">
        <v>0.569</v>
      </c>
      <c r="F119" s="132"/>
      <c r="G119" s="118">
        <v>0.8</v>
      </c>
    </row>
    <row r="120">
      <c r="B120" s="89" t="s">
        <v>108</v>
      </c>
      <c r="C120" s="139">
        <v>0.9</v>
      </c>
      <c r="D120" s="139">
        <v>0.865</v>
      </c>
      <c r="E120" s="142">
        <v>0.59</v>
      </c>
      <c r="F120" s="132"/>
      <c r="G120" s="118">
        <v>0.8</v>
      </c>
    </row>
    <row r="121">
      <c r="B121" s="89" t="s">
        <v>27</v>
      </c>
      <c r="C121" s="143">
        <f t="shared" ref="C121:D121" si="79">AVERAGE(C116:C120)</f>
        <v>0.746</v>
      </c>
      <c r="D121" s="143">
        <f t="shared" si="79"/>
        <v>0.8094</v>
      </c>
      <c r="E121" s="143">
        <v>0.733</v>
      </c>
      <c r="F121" s="132"/>
      <c r="G121" s="118">
        <v>0.8</v>
      </c>
    </row>
    <row r="124">
      <c r="B124" s="148" t="s">
        <v>109</v>
      </c>
    </row>
    <row r="125">
      <c r="C125" s="111" t="s">
        <v>110</v>
      </c>
      <c r="D125" s="112" t="s">
        <v>6</v>
      </c>
    </row>
    <row r="126">
      <c r="B126" s="89" t="s">
        <v>111</v>
      </c>
      <c r="C126" s="149">
        <v>0.88</v>
      </c>
      <c r="D126" s="130">
        <v>1.0</v>
      </c>
    </row>
    <row r="127">
      <c r="B127" s="89" t="s">
        <v>112</v>
      </c>
      <c r="C127" s="150">
        <v>0.05</v>
      </c>
      <c r="D127" s="102"/>
    </row>
    <row r="128">
      <c r="B128" s="89" t="s">
        <v>113</v>
      </c>
      <c r="C128" s="150">
        <v>0.07</v>
      </c>
      <c r="D128" s="102"/>
    </row>
    <row r="129">
      <c r="C129" s="102">
        <f>sum(C126:C128)</f>
        <v>1</v>
      </c>
    </row>
    <row r="131">
      <c r="B131" s="148" t="s">
        <v>114</v>
      </c>
    </row>
    <row r="132">
      <c r="C132" s="111" t="s">
        <v>110</v>
      </c>
      <c r="D132" s="112" t="s">
        <v>6</v>
      </c>
    </row>
    <row r="133">
      <c r="B133" s="89" t="s">
        <v>111</v>
      </c>
      <c r="C133" s="151">
        <v>0.75</v>
      </c>
      <c r="D133" s="130">
        <v>1.0</v>
      </c>
    </row>
    <row r="134">
      <c r="B134" s="89" t="s">
        <v>112</v>
      </c>
      <c r="C134" s="150">
        <v>0.17</v>
      </c>
      <c r="D134" s="102"/>
    </row>
    <row r="135">
      <c r="B135" s="89" t="s">
        <v>113</v>
      </c>
      <c r="C135" s="150">
        <v>0.08</v>
      </c>
      <c r="D135" s="102"/>
    </row>
    <row r="136">
      <c r="C136" s="102">
        <f>sum(C133:C135)</f>
        <v>1</v>
      </c>
    </row>
  </sheetData>
  <mergeCells count="15">
    <mergeCell ref="I14:K14"/>
    <mergeCell ref="L14:N14"/>
    <mergeCell ref="C84:E84"/>
    <mergeCell ref="F84:H84"/>
    <mergeCell ref="I84:K84"/>
    <mergeCell ref="L84:N84"/>
    <mergeCell ref="O84:Q84"/>
    <mergeCell ref="C5:E5"/>
    <mergeCell ref="F5:H5"/>
    <mergeCell ref="I5:K5"/>
    <mergeCell ref="L5:N5"/>
    <mergeCell ref="O5:Q5"/>
    <mergeCell ref="C14:E14"/>
    <mergeCell ref="F14:H14"/>
    <mergeCell ref="O14:Q14"/>
  </mergeCells>
  <drawing r:id="rId1"/>
</worksheet>
</file>