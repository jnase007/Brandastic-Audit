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out Template" sheetId="1" r:id="rId4"/>
    <sheet state="hidden" name="Data" sheetId="2" r:id="rId5"/>
  </sheets>
  <definedNames/>
  <calcPr/>
</workbook>
</file>

<file path=xl/sharedStrings.xml><?xml version="1.0" encoding="utf-8"?>
<sst xmlns="http://schemas.openxmlformats.org/spreadsheetml/2006/main" count="49" uniqueCount="43">
  <si>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</si>
  <si>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</si>
  <si>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</si>
  <si>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</si>
  <si>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</si>
  <si>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</si>
  <si>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</si>
  <si>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</si>
  <si>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</si>
  <si>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</si>
  <si>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</si>
  <si>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</si>
  <si>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</si>
  <si>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Monthly Payout</t>
  </si>
  <si>
    <t>Start Date:</t>
  </si>
  <si>
    <t>&lt;---save a copy and input your start date here</t>
  </si>
  <si>
    <t>Year</t>
  </si>
  <si>
    <t>Mo Inc/Yr</t>
  </si>
  <si>
    <t>Monthly Rate</t>
  </si>
  <si>
    <t>Annual Payout</t>
  </si>
  <si>
    <t>Payout on Dec 15:</t>
  </si>
  <si>
    <t>Guidelines</t>
  </si>
  <si>
    <t>-Paid out on the last payroll before Christmas break</t>
  </si>
  <si>
    <t>-Must be here at least a year to be eligible</t>
  </si>
  <si>
    <t>-Anniversary date begins on your full-time employment date</t>
  </si>
  <si>
    <t>-Interns, part-time, contractors are not eligible</t>
  </si>
  <si>
    <t>Start Date</t>
  </si>
  <si>
    <t>&lt;---Day you started</t>
  </si>
  <si>
    <t>Anniversary Cutoff</t>
  </si>
  <si>
    <t>&lt;---Current year end date</t>
  </si>
  <si>
    <t>Anniversary Year Multiplier 1</t>
  </si>
  <si>
    <t>Anniversary Year Multiplier 2</t>
  </si>
  <si>
    <t>Month</t>
  </si>
  <si>
    <t>Annualized Payout</t>
  </si>
  <si>
    <t>Months for Year Multipler 1</t>
  </si>
  <si>
    <t>Months for Year Multipler 2</t>
  </si>
  <si>
    <t>Days</t>
  </si>
  <si>
    <t>Days Payout</t>
  </si>
  <si>
    <t>Days for Crossover Month 1</t>
  </si>
  <si>
    <t>Days for Crossover Month 2</t>
  </si>
  <si>
    <t>Total Days</t>
  </si>
  <si>
    <t>Total Payout</t>
  </si>
  <si>
    <t>&lt;----Payout to be December 15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</si>
</sst>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"/>
    <numFmt numFmtId="166" formatCode="&quot;$&quot;#,##0"/>
  </numFmts>
  <fonts count="11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theme="0"/>
      <name val="Arial"/>
    </font>
    <font>
      <sz val="10.0"/>
      <color theme="1"/>
      <name val="Arial"/>
    </font>
    <font>
      <i/>
      <sz val="10.0"/>
      <color theme="1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u/>
      <color theme="1"/>
      <name val="Arial"/>
      <scheme val="minor"/>
    </font>
    <font>
      <color theme="1"/>
      <name val="Arial"/>
      <scheme val="minor"/>
    </font>
    <font>
      <sz val="10.0"/>
      <color theme="0"/>
      <name val="Arial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 shrinkToFit="0" vertical="bottom" wrapText="0"/>
    </xf>
    <xf borderId="0" fillId="0" fontId="3" numFmtId="0" xfId="0" applyFont="1"/>
    <xf borderId="1" fillId="2" fontId="2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readingOrder="0"/>
    </xf>
    <xf borderId="1" fillId="3" fontId="3" numFmtId="0" xfId="0" applyBorder="1" applyFont="1"/>
    <xf borderId="1" fillId="4" fontId="2" numFmtId="0" xfId="0" applyAlignment="1" applyBorder="1" applyFill="1" applyFont="1">
      <alignment horizontal="center" readingOrder="0" vertical="center"/>
    </xf>
    <xf borderId="1" fillId="5" fontId="3" numFmtId="164" xfId="0" applyAlignment="1" applyBorder="1" applyFill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/>
    </xf>
    <xf borderId="1" fillId="2" fontId="5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/>
    </xf>
    <xf borderId="1" fillId="0" fontId="6" numFmtId="166" xfId="0" applyAlignment="1" applyBorder="1" applyFont="1" applyNumberFormat="1">
      <alignment horizontal="center" readingOrder="0" shrinkToFit="0" vertical="bottom" wrapText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3" fontId="9" numFmtId="0" xfId="0" applyFont="1"/>
    <xf borderId="0" fillId="3" fontId="10" numFmtId="0" xfId="0" applyFont="1"/>
    <xf borderId="0" fillId="3" fontId="8" numFmtId="0" xfId="0" applyFont="1"/>
    <xf borderId="0" fillId="3" fontId="2" numFmtId="0" xfId="0" applyAlignment="1" applyFont="1">
      <alignment readingOrder="0"/>
    </xf>
    <xf borderId="0" fillId="3" fontId="9" numFmtId="165" xfId="0" applyAlignment="1" applyFont="1" applyNumberFormat="1">
      <alignment horizontal="center" readingOrder="0"/>
    </xf>
    <xf borderId="0" fillId="3" fontId="9" numFmtId="0" xfId="0" applyAlignment="1" applyFont="1">
      <alignment readingOrder="0"/>
    </xf>
    <xf borderId="0" fillId="3" fontId="2" numFmtId="0" xfId="0" applyAlignment="1" applyFont="1">
      <alignment horizontal="center" readingOrder="0" shrinkToFit="0" vertical="bottom" wrapText="0"/>
    </xf>
    <xf borderId="0" fillId="3" fontId="9" numFmtId="0" xfId="0" applyAlignment="1" applyFont="1">
      <alignment horizontal="center" readingOrder="0"/>
    </xf>
    <xf borderId="0" fillId="3" fontId="9" numFmtId="166" xfId="0" applyAlignment="1" applyFont="1" applyNumberFormat="1">
      <alignment horizontal="center" readingOrder="0" shrinkToFit="0" vertical="bottom" wrapText="0"/>
    </xf>
    <xf borderId="0" fillId="3" fontId="2" numFmtId="0" xfId="0" applyFont="1"/>
    <xf borderId="0" fillId="3" fontId="9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0" fillId="3" fontId="9" numFmtId="166" xfId="0" applyAlignment="1" applyFont="1" applyNumberFormat="1">
      <alignment horizontal="center"/>
    </xf>
    <xf borderId="0" fillId="3" fontId="2" numFmtId="166" xfId="0" applyAlignment="1" applyFont="1" applyNumberFormat="1">
      <alignment horizontal="center" readingOrder="0"/>
    </xf>
    <xf borderId="0" fillId="3" fontId="2" numFmtId="166" xfId="0" applyAlignment="1" applyFont="1" applyNumberFormat="1">
      <alignment horizontal="center"/>
    </xf>
    <xf borderId="0" fillId="3" fontId="9" numFmtId="164" xfId="0" applyAlignment="1" applyFont="1" applyNumberFormat="1">
      <alignment horizontal="center"/>
    </xf>
    <xf borderId="0" fillId="3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88"/>
    <col customWidth="1" min="3" max="3" width="19.88"/>
    <col customWidth="1" min="14" max="14" width="1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/>
      <c r="O1" s="4" t="s">
        <v>12</v>
      </c>
      <c r="P1" s="3"/>
      <c r="Q1" s="3"/>
      <c r="R1" s="3"/>
      <c r="S1" s="3"/>
      <c r="T1" s="3"/>
      <c r="U1" s="3"/>
      <c r="V1" s="3"/>
      <c r="W1" s="3"/>
      <c r="X1" s="3"/>
    </row>
    <row r="2">
      <c r="A2" s="3"/>
      <c r="B2" s="5">
        <v>1.0</v>
      </c>
      <c r="C2" s="5">
        <v>2.0</v>
      </c>
      <c r="D2" s="5">
        <v>3.0</v>
      </c>
      <c r="E2" s="5">
        <v>4.0</v>
      </c>
      <c r="F2" s="5">
        <v>5.0</v>
      </c>
      <c r="G2" s="5">
        <v>6.0</v>
      </c>
      <c r="H2" s="5">
        <v>7.0</v>
      </c>
      <c r="I2" s="5">
        <v>8.0</v>
      </c>
      <c r="J2" s="5">
        <v>9.0</v>
      </c>
      <c r="K2" s="5">
        <v>10.0</v>
      </c>
      <c r="L2" s="5">
        <v>11.0</v>
      </c>
      <c r="M2" s="5">
        <v>12.0</v>
      </c>
      <c r="N2" s="3"/>
      <c r="O2" s="6"/>
      <c r="P2" s="3"/>
      <c r="Q2" s="3"/>
      <c r="R2" s="3"/>
      <c r="S2" s="3"/>
      <c r="T2" s="3"/>
      <c r="U2" s="3"/>
      <c r="V2" s="3"/>
      <c r="W2" s="3"/>
      <c r="X2" s="3"/>
    </row>
    <row r="3">
      <c r="A3" s="7" t="s">
        <v>13</v>
      </c>
      <c r="B3" s="8">
        <f>IF(B2&lt;MONTH(Data!$B$2),Data!$C$6,
IF(B2&gt;MONTH(Data!$B$2),Data!$C$7,Data!$C$17))</f>
        <v>100</v>
      </c>
      <c r="C3" s="8">
        <f>IF(C2&lt;MONTH(Data!$B$2),Data!$C$6,
IF(C2&gt;MONTH(Data!$B$2),Data!$C$7,Data!$C$17))</f>
        <v>100</v>
      </c>
      <c r="D3" s="8">
        <f>IF(D2&lt;MONTH(Data!$B$2),Data!$C$6,
IF(D2&gt;MONTH(Data!$B$2),Data!$C$7,Data!$C$17))</f>
        <v>100</v>
      </c>
      <c r="E3" s="8">
        <f>IF(E2&lt;MONTH(Data!$B$2),Data!$C$6,
IF(E2&gt;MONTH(Data!$B$2),Data!$C$7,Data!$C$17))</f>
        <v>100</v>
      </c>
      <c r="F3" s="8">
        <f>IF(F2&lt;MONTH(Data!$B$2),Data!$C$6,
IF(F2&gt;MONTH(Data!$B$2),Data!$C$7,Data!$C$17))</f>
        <v>100</v>
      </c>
      <c r="G3" s="8">
        <f>IF(G2&lt;MONTH(Data!$B$2),Data!$C$6,
IF(G2&gt;MONTH(Data!$B$2),Data!$C$7,Data!$C$17))</f>
        <v>107</v>
      </c>
      <c r="H3" s="8">
        <f>IF(H2&lt;MONTH(Data!$B$2),Data!$C$6,
IF(H2&gt;MONTH(Data!$B$2),Data!$C$7,Data!$C$17))</f>
        <v>205</v>
      </c>
      <c r="I3" s="8">
        <f>IF(I2&lt;MONTH(Data!$B$2),Data!$C$6,
IF(I2&gt;MONTH(Data!$B$2),Data!$C$7,Data!$C$17))</f>
        <v>205</v>
      </c>
      <c r="J3" s="8">
        <f>IF(J2&lt;MONTH(Data!$B$2),Data!$C$6,
IF(J2&gt;MONTH(Data!$B$2),Data!$C$7,Data!$C$17))</f>
        <v>205</v>
      </c>
      <c r="K3" s="8">
        <f>IF(K2&lt;MONTH(Data!$B$2),Data!$C$6,
IF(K2&gt;MONTH(Data!$B$2),Data!$C$7,Data!$C$17))</f>
        <v>205</v>
      </c>
      <c r="L3" s="8">
        <f>IF(L2&lt;MONTH(Data!$B$2),Data!$C$6,
IF(L2&gt;MONTH(Data!$B$2),Data!$C$7,Data!$C$17))</f>
        <v>205</v>
      </c>
      <c r="M3" s="8">
        <f>IF(M2&lt;MONTH(Data!$B$2),Data!$C$6,
IF(M2&gt;MONTH(Data!$B$2),Data!$C$7,Data!$C$17))</f>
        <v>205</v>
      </c>
      <c r="N3" s="3"/>
      <c r="O3" s="9">
        <f>SUM(B3:M3)</f>
        <v>1837</v>
      </c>
      <c r="P3" s="3"/>
      <c r="Q3" s="3"/>
      <c r="R3" s="3"/>
      <c r="S3" s="3"/>
      <c r="T3" s="3"/>
      <c r="U3" s="3"/>
      <c r="V3" s="3"/>
      <c r="W3" s="3"/>
      <c r="X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7" t="s">
        <v>14</v>
      </c>
      <c r="B5" s="10">
        <v>44741.0</v>
      </c>
      <c r="C5" s="11" t="s">
        <v>15</v>
      </c>
      <c r="D5" s="3"/>
      <c r="E5" s="3"/>
      <c r="F5" s="2" t="s">
        <v>16</v>
      </c>
      <c r="G5" s="12" t="s">
        <v>17</v>
      </c>
      <c r="H5" s="2" t="s">
        <v>18</v>
      </c>
      <c r="I5" s="2" t="s">
        <v>19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7" t="s">
        <v>20</v>
      </c>
      <c r="B6" s="9">
        <f>O3</f>
        <v>1837</v>
      </c>
      <c r="C6" s="3"/>
      <c r="D6" s="3"/>
      <c r="E6" s="3"/>
      <c r="F6" s="13">
        <v>0.0</v>
      </c>
      <c r="G6" s="14">
        <v>0.0</v>
      </c>
      <c r="H6" s="14">
        <v>0.0</v>
      </c>
      <c r="I6" s="14">
        <f t="shared" ref="I6:I21" si="1">H6*12</f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3"/>
      <c r="B7" s="3"/>
      <c r="C7" s="3"/>
      <c r="D7" s="3"/>
      <c r="E7" s="3"/>
      <c r="F7" s="13">
        <v>1.0</v>
      </c>
      <c r="G7" s="14">
        <v>100.0</v>
      </c>
      <c r="H7" s="14">
        <v>100.0</v>
      </c>
      <c r="I7" s="14">
        <f t="shared" si="1"/>
        <v>1200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3"/>
      <c r="F8" s="13">
        <f t="shared" ref="F8:F21" si="2">F7+1</f>
        <v>2</v>
      </c>
      <c r="G8" s="14">
        <f t="shared" ref="G8:G21" si="3">G7+5</f>
        <v>105</v>
      </c>
      <c r="H8" s="14">
        <f t="shared" ref="H8:H21" si="4">H7+G8</f>
        <v>205</v>
      </c>
      <c r="I8" s="14">
        <f t="shared" si="1"/>
        <v>2460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3"/>
      <c r="B9" s="15" t="s">
        <v>21</v>
      </c>
      <c r="F9" s="13">
        <f t="shared" si="2"/>
        <v>3</v>
      </c>
      <c r="G9" s="14">
        <f t="shared" si="3"/>
        <v>110</v>
      </c>
      <c r="H9" s="14">
        <f t="shared" si="4"/>
        <v>315</v>
      </c>
      <c r="I9" s="14">
        <f t="shared" si="1"/>
        <v>3780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3"/>
      <c r="B10" s="16" t="s">
        <v>22</v>
      </c>
      <c r="F10" s="13">
        <f t="shared" si="2"/>
        <v>4</v>
      </c>
      <c r="G10" s="14">
        <f t="shared" si="3"/>
        <v>115</v>
      </c>
      <c r="H10" s="14">
        <f t="shared" si="4"/>
        <v>430</v>
      </c>
      <c r="I10" s="14">
        <f t="shared" si="1"/>
        <v>5160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"/>
      <c r="B11" s="16" t="s">
        <v>23</v>
      </c>
      <c r="F11" s="13">
        <f t="shared" si="2"/>
        <v>5</v>
      </c>
      <c r="G11" s="14">
        <f t="shared" si="3"/>
        <v>120</v>
      </c>
      <c r="H11" s="14">
        <f t="shared" si="4"/>
        <v>550</v>
      </c>
      <c r="I11" s="14">
        <f t="shared" si="1"/>
        <v>6600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"/>
      <c r="B12" s="16" t="s">
        <v>24</v>
      </c>
      <c r="F12" s="13">
        <f t="shared" si="2"/>
        <v>6</v>
      </c>
      <c r="G12" s="14">
        <f t="shared" si="3"/>
        <v>125</v>
      </c>
      <c r="H12" s="14">
        <f t="shared" si="4"/>
        <v>675</v>
      </c>
      <c r="I12" s="14">
        <f t="shared" si="1"/>
        <v>8100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/>
      <c r="B13" s="16" t="s">
        <v>25</v>
      </c>
      <c r="F13" s="13">
        <f t="shared" si="2"/>
        <v>7</v>
      </c>
      <c r="G13" s="14">
        <f t="shared" si="3"/>
        <v>130</v>
      </c>
      <c r="H13" s="14">
        <f t="shared" si="4"/>
        <v>805</v>
      </c>
      <c r="I13" s="14">
        <f t="shared" si="1"/>
        <v>9660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F14" s="13">
        <f t="shared" si="2"/>
        <v>8</v>
      </c>
      <c r="G14" s="14">
        <f t="shared" si="3"/>
        <v>135</v>
      </c>
      <c r="H14" s="14">
        <f t="shared" si="4"/>
        <v>940</v>
      </c>
      <c r="I14" s="14">
        <f t="shared" si="1"/>
        <v>11280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/>
      <c r="F15" s="13">
        <f t="shared" si="2"/>
        <v>9</v>
      </c>
      <c r="G15" s="14">
        <f t="shared" si="3"/>
        <v>140</v>
      </c>
      <c r="H15" s="14">
        <f t="shared" si="4"/>
        <v>1080</v>
      </c>
      <c r="I15" s="14">
        <f t="shared" si="1"/>
        <v>12960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/>
      <c r="F16" s="13">
        <f t="shared" si="2"/>
        <v>10</v>
      </c>
      <c r="G16" s="14">
        <f t="shared" si="3"/>
        <v>145</v>
      </c>
      <c r="H16" s="14">
        <f t="shared" si="4"/>
        <v>1225</v>
      </c>
      <c r="I16" s="14">
        <f t="shared" si="1"/>
        <v>14700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F17" s="13">
        <f t="shared" si="2"/>
        <v>11</v>
      </c>
      <c r="G17" s="14">
        <f t="shared" si="3"/>
        <v>150</v>
      </c>
      <c r="H17" s="14">
        <f t="shared" si="4"/>
        <v>1375</v>
      </c>
      <c r="I17" s="14">
        <f t="shared" si="1"/>
        <v>16500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F18" s="13">
        <f t="shared" si="2"/>
        <v>12</v>
      </c>
      <c r="G18" s="14">
        <f t="shared" si="3"/>
        <v>155</v>
      </c>
      <c r="H18" s="14">
        <f t="shared" si="4"/>
        <v>1530</v>
      </c>
      <c r="I18" s="14">
        <f t="shared" si="1"/>
        <v>18360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F19" s="13">
        <f t="shared" si="2"/>
        <v>13</v>
      </c>
      <c r="G19" s="14">
        <f t="shared" si="3"/>
        <v>160</v>
      </c>
      <c r="H19" s="14">
        <f t="shared" si="4"/>
        <v>1690</v>
      </c>
      <c r="I19" s="14">
        <f t="shared" si="1"/>
        <v>20280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/>
      <c r="B20" s="3"/>
      <c r="C20" s="3"/>
      <c r="D20" s="3"/>
      <c r="E20" s="3"/>
      <c r="F20" s="13">
        <f t="shared" si="2"/>
        <v>14</v>
      </c>
      <c r="G20" s="14">
        <f t="shared" si="3"/>
        <v>165</v>
      </c>
      <c r="H20" s="14">
        <f t="shared" si="4"/>
        <v>1855</v>
      </c>
      <c r="I20" s="14">
        <f t="shared" si="1"/>
        <v>22260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3"/>
      <c r="B21" s="3"/>
      <c r="C21" s="3"/>
      <c r="D21" s="3"/>
      <c r="E21" s="3"/>
      <c r="F21" s="13">
        <f t="shared" si="2"/>
        <v>15</v>
      </c>
      <c r="G21" s="14">
        <f t="shared" si="3"/>
        <v>170</v>
      </c>
      <c r="H21" s="14">
        <f t="shared" si="4"/>
        <v>2025</v>
      </c>
      <c r="I21" s="14">
        <f t="shared" si="1"/>
        <v>24300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</sheetData>
  <mergeCells count="1">
    <mergeCell ref="B9:D9"/>
  </mergeCells>
  <conditionalFormatting sqref="B3:M3">
    <cfRule type="colorScale" priority="1">
      <colorScale>
        <cfvo type="percent" val="33"/>
        <cfvo type="percent" val="33"/>
        <color rgb="FFB6D7A8"/>
        <color rgb="FF6AA84F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</cols>
  <sheetData>
    <row r="1">
      <c r="A1" s="17"/>
      <c r="B1" s="17"/>
      <c r="C1" s="17"/>
      <c r="D1" s="17"/>
      <c r="E1" s="17"/>
      <c r="F1" s="17"/>
      <c r="G1" s="17"/>
      <c r="H1" s="17"/>
      <c r="I1" s="18"/>
      <c r="J1" s="19"/>
    </row>
    <row r="2">
      <c r="A2" s="20" t="s">
        <v>26</v>
      </c>
      <c r="B2" s="21">
        <f>'Payout Template'!B5</f>
        <v>44741</v>
      </c>
      <c r="C2" s="22" t="s">
        <v>27</v>
      </c>
      <c r="D2" s="17"/>
      <c r="E2" s="23" t="s">
        <v>16</v>
      </c>
      <c r="F2" s="23" t="s">
        <v>18</v>
      </c>
      <c r="G2" s="23" t="s">
        <v>17</v>
      </c>
      <c r="H2" s="23" t="s">
        <v>19</v>
      </c>
      <c r="I2" s="18"/>
      <c r="J2" s="19"/>
    </row>
    <row r="3">
      <c r="A3" s="20" t="s">
        <v>28</v>
      </c>
      <c r="B3" s="21">
        <v>45291.0</v>
      </c>
      <c r="C3" s="22" t="s">
        <v>29</v>
      </c>
      <c r="D3" s="17"/>
      <c r="E3" s="24">
        <v>0.0</v>
      </c>
      <c r="F3" s="25">
        <v>0.0</v>
      </c>
      <c r="G3" s="25">
        <v>0.0</v>
      </c>
      <c r="H3" s="25">
        <f t="shared" ref="H3:H18" si="1">F3*12</f>
        <v>0</v>
      </c>
      <c r="I3" s="18"/>
      <c r="J3" s="19"/>
    </row>
    <row r="4">
      <c r="A4" s="26"/>
      <c r="B4" s="27"/>
      <c r="C4" s="17"/>
      <c r="D4" s="17"/>
      <c r="E4" s="24">
        <v>1.0</v>
      </c>
      <c r="F4" s="25">
        <v>100.0</v>
      </c>
      <c r="G4" s="25">
        <v>100.0</v>
      </c>
      <c r="H4" s="25">
        <f t="shared" si="1"/>
        <v>1200</v>
      </c>
      <c r="I4" s="18"/>
      <c r="J4" s="19"/>
    </row>
    <row r="5">
      <c r="A5" s="26"/>
      <c r="B5" s="28" t="s">
        <v>16</v>
      </c>
      <c r="C5" s="28" t="s">
        <v>18</v>
      </c>
      <c r="D5" s="17"/>
      <c r="E5" s="24">
        <f t="shared" ref="E5:E13" si="2">E4+1</f>
        <v>2</v>
      </c>
      <c r="F5" s="25">
        <f t="shared" ref="F5:F18" si="3">F4+G5</f>
        <v>205</v>
      </c>
      <c r="G5" s="25">
        <v>105.0</v>
      </c>
      <c r="H5" s="25">
        <f t="shared" si="1"/>
        <v>2460</v>
      </c>
      <c r="I5" s="18"/>
      <c r="J5" s="19"/>
    </row>
    <row r="6">
      <c r="A6" s="20" t="s">
        <v>30</v>
      </c>
      <c r="B6" s="27">
        <f>ROUNDDOWN((B3-B2)/365,0)</f>
        <v>1</v>
      </c>
      <c r="C6" s="29">
        <f t="shared" ref="C6:C7" si="4">VLOOKUP(B6,$E$2:$F$13,2,false)</f>
        <v>100</v>
      </c>
      <c r="D6" s="17"/>
      <c r="E6" s="24">
        <f t="shared" si="2"/>
        <v>3</v>
      </c>
      <c r="F6" s="25">
        <f t="shared" si="3"/>
        <v>315</v>
      </c>
      <c r="G6" s="25">
        <v>110.0</v>
      </c>
      <c r="H6" s="25">
        <f t="shared" si="1"/>
        <v>3780</v>
      </c>
      <c r="I6" s="18"/>
      <c r="J6" s="19"/>
    </row>
    <row r="7">
      <c r="A7" s="20" t="s">
        <v>31</v>
      </c>
      <c r="B7" s="27">
        <f>B6+1</f>
        <v>2</v>
      </c>
      <c r="C7" s="29">
        <f t="shared" si="4"/>
        <v>205</v>
      </c>
      <c r="D7" s="17"/>
      <c r="E7" s="24">
        <f t="shared" si="2"/>
        <v>4</v>
      </c>
      <c r="F7" s="25">
        <f t="shared" si="3"/>
        <v>430</v>
      </c>
      <c r="G7" s="25">
        <v>115.0</v>
      </c>
      <c r="H7" s="25">
        <f t="shared" si="1"/>
        <v>5160</v>
      </c>
      <c r="I7" s="18"/>
      <c r="J7" s="19"/>
    </row>
    <row r="8">
      <c r="A8" s="26"/>
      <c r="B8" s="27"/>
      <c r="C8" s="29"/>
      <c r="D8" s="17"/>
      <c r="E8" s="24">
        <f t="shared" si="2"/>
        <v>5</v>
      </c>
      <c r="F8" s="25">
        <f t="shared" si="3"/>
        <v>550</v>
      </c>
      <c r="G8" s="25">
        <v>120.0</v>
      </c>
      <c r="H8" s="25">
        <f t="shared" si="1"/>
        <v>6600</v>
      </c>
      <c r="I8" s="18"/>
      <c r="J8" s="19"/>
    </row>
    <row r="9">
      <c r="A9" s="26"/>
      <c r="B9" s="28" t="s">
        <v>32</v>
      </c>
      <c r="C9" s="30" t="s">
        <v>33</v>
      </c>
      <c r="D9" s="17"/>
      <c r="E9" s="24">
        <f t="shared" si="2"/>
        <v>6</v>
      </c>
      <c r="F9" s="25">
        <f t="shared" si="3"/>
        <v>675</v>
      </c>
      <c r="G9" s="25">
        <v>125.0</v>
      </c>
      <c r="H9" s="25">
        <f t="shared" si="1"/>
        <v>8100</v>
      </c>
      <c r="I9" s="18"/>
      <c r="J9" s="19"/>
    </row>
    <row r="10">
      <c r="A10" s="20" t="s">
        <v>34</v>
      </c>
      <c r="B10" s="27">
        <f>MONTH(B2)-1</f>
        <v>5</v>
      </c>
      <c r="C10" s="29">
        <f t="shared" ref="C10:C11" si="5">C6*B10</f>
        <v>500</v>
      </c>
      <c r="D10" s="17"/>
      <c r="E10" s="24">
        <f t="shared" si="2"/>
        <v>7</v>
      </c>
      <c r="F10" s="25">
        <f t="shared" si="3"/>
        <v>805</v>
      </c>
      <c r="G10" s="25">
        <v>130.0</v>
      </c>
      <c r="H10" s="25">
        <f t="shared" si="1"/>
        <v>9660</v>
      </c>
      <c r="I10" s="18"/>
      <c r="J10" s="19"/>
    </row>
    <row r="11">
      <c r="A11" s="20" t="s">
        <v>35</v>
      </c>
      <c r="B11" s="27">
        <f>11-B10</f>
        <v>6</v>
      </c>
      <c r="C11" s="29">
        <f t="shared" si="5"/>
        <v>1230</v>
      </c>
      <c r="D11" s="17"/>
      <c r="E11" s="24">
        <f t="shared" si="2"/>
        <v>8</v>
      </c>
      <c r="F11" s="25">
        <f t="shared" si="3"/>
        <v>940</v>
      </c>
      <c r="G11" s="25">
        <v>135.0</v>
      </c>
      <c r="H11" s="25">
        <f t="shared" si="1"/>
        <v>11280</v>
      </c>
      <c r="I11" s="18"/>
      <c r="J11" s="19"/>
    </row>
    <row r="12">
      <c r="A12" s="26"/>
      <c r="B12" s="27">
        <f t="shared" ref="B12:C12" si="6">SUM(B10:B11)</f>
        <v>11</v>
      </c>
      <c r="C12" s="31">
        <f t="shared" si="6"/>
        <v>1730</v>
      </c>
      <c r="D12" s="17"/>
      <c r="E12" s="24">
        <f t="shared" si="2"/>
        <v>9</v>
      </c>
      <c r="F12" s="25">
        <f t="shared" si="3"/>
        <v>1080</v>
      </c>
      <c r="G12" s="25">
        <v>140.0</v>
      </c>
      <c r="H12" s="25">
        <f t="shared" si="1"/>
        <v>12960</v>
      </c>
      <c r="I12" s="18"/>
      <c r="J12" s="19"/>
    </row>
    <row r="13">
      <c r="A13" s="26"/>
      <c r="B13" s="27"/>
      <c r="C13" s="27"/>
      <c r="D13" s="17"/>
      <c r="E13" s="24">
        <f t="shared" si="2"/>
        <v>10</v>
      </c>
      <c r="F13" s="25">
        <f t="shared" si="3"/>
        <v>1225</v>
      </c>
      <c r="G13" s="25">
        <v>145.0</v>
      </c>
      <c r="H13" s="25">
        <f t="shared" si="1"/>
        <v>14700</v>
      </c>
      <c r="I13" s="18"/>
      <c r="J13" s="19"/>
    </row>
    <row r="14">
      <c r="A14" s="26"/>
      <c r="B14" s="28" t="s">
        <v>36</v>
      </c>
      <c r="C14" s="28" t="s">
        <v>37</v>
      </c>
      <c r="D14" s="17"/>
      <c r="E14" s="24">
        <v>11.0</v>
      </c>
      <c r="F14" s="25">
        <f t="shared" si="3"/>
        <v>1375</v>
      </c>
      <c r="G14" s="25">
        <v>150.0</v>
      </c>
      <c r="H14" s="25">
        <f t="shared" si="1"/>
        <v>16500</v>
      </c>
      <c r="I14" s="18"/>
      <c r="J14" s="19"/>
    </row>
    <row r="15">
      <c r="A15" s="20" t="s">
        <v>38</v>
      </c>
      <c r="B15" s="27">
        <f>DAY(B2)-1</f>
        <v>28</v>
      </c>
      <c r="C15" s="32">
        <f>C6/B17*B15</f>
        <v>93.33333333</v>
      </c>
      <c r="D15" s="17"/>
      <c r="E15" s="24">
        <v>12.0</v>
      </c>
      <c r="F15" s="25">
        <f t="shared" si="3"/>
        <v>1530</v>
      </c>
      <c r="G15" s="25">
        <v>155.0</v>
      </c>
      <c r="H15" s="25">
        <f t="shared" si="1"/>
        <v>18360</v>
      </c>
      <c r="I15" s="18"/>
      <c r="J15" s="19"/>
    </row>
    <row r="16">
      <c r="A16" s="20" t="s">
        <v>39</v>
      </c>
      <c r="B16" s="27">
        <f>day(EOMONTH(B2,0))-B15</f>
        <v>2</v>
      </c>
      <c r="C16" s="32">
        <f>C7/B17*B16</f>
        <v>13.66666667</v>
      </c>
      <c r="D16" s="17"/>
      <c r="E16" s="24">
        <v>13.0</v>
      </c>
      <c r="F16" s="25">
        <f t="shared" si="3"/>
        <v>1690</v>
      </c>
      <c r="G16" s="25">
        <v>160.0</v>
      </c>
      <c r="H16" s="25">
        <f t="shared" si="1"/>
        <v>20280</v>
      </c>
      <c r="I16" s="18"/>
      <c r="J16" s="19"/>
    </row>
    <row r="17">
      <c r="A17" s="20" t="s">
        <v>40</v>
      </c>
      <c r="B17" s="27">
        <f t="shared" ref="B17:C17" si="7">SUM(B15:B16)</f>
        <v>30</v>
      </c>
      <c r="C17" s="33">
        <f t="shared" si="7"/>
        <v>107</v>
      </c>
      <c r="D17" s="17"/>
      <c r="E17" s="24">
        <v>14.0</v>
      </c>
      <c r="F17" s="25">
        <f t="shared" si="3"/>
        <v>1855</v>
      </c>
      <c r="G17" s="25">
        <v>165.0</v>
      </c>
      <c r="H17" s="25">
        <f t="shared" si="1"/>
        <v>22260</v>
      </c>
      <c r="I17" s="18"/>
      <c r="J17" s="19"/>
    </row>
    <row r="18">
      <c r="A18" s="26"/>
      <c r="B18" s="17"/>
      <c r="C18" s="27"/>
      <c r="D18" s="17"/>
      <c r="E18" s="24">
        <v>15.0</v>
      </c>
      <c r="F18" s="25">
        <f t="shared" si="3"/>
        <v>2025</v>
      </c>
      <c r="G18" s="25">
        <v>170.0</v>
      </c>
      <c r="H18" s="25">
        <f t="shared" si="1"/>
        <v>24300</v>
      </c>
      <c r="I18" s="18"/>
      <c r="J18" s="19"/>
    </row>
    <row r="19">
      <c r="A19" s="20" t="s">
        <v>41</v>
      </c>
      <c r="B19" s="26"/>
      <c r="C19" s="33">
        <f>C17+C12</f>
        <v>1837</v>
      </c>
      <c r="D19" s="20" t="s">
        <v>42</v>
      </c>
      <c r="E19" s="17"/>
      <c r="F19" s="17"/>
      <c r="G19" s="17"/>
      <c r="H19" s="17"/>
      <c r="I19" s="18"/>
      <c r="J19" s="19"/>
    </row>
    <row r="20">
      <c r="A20" s="17"/>
      <c r="B20" s="17"/>
      <c r="C20" s="17"/>
      <c r="D20" s="17"/>
      <c r="E20" s="17"/>
      <c r="F20" s="17"/>
      <c r="G20" s="17"/>
      <c r="H20" s="17"/>
      <c r="I20" s="18"/>
      <c r="J20" s="19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9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9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</row>
  </sheetData>
  <drawing r:id="rId1"/>
</worksheet>
</file>