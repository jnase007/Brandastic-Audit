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ing Wage Executive Summary" sheetId="1" r:id="rId4"/>
    <sheet state="visible" name="Payroll Benefit Costs" sheetId="2" r:id="rId5"/>
    <sheet state="visible" name="Global Analysis" sheetId="3" r:id="rId6"/>
    <sheet state="visible" name="Platforms" sheetId="4" r:id="rId7"/>
  </sheets>
  <definedNames/>
  <calcPr/>
</workbook>
</file>

<file path=xl/sharedStrings.xml><?xml version="1.0" encoding="utf-8"?>
<sst xmlns="http://schemas.openxmlformats.org/spreadsheetml/2006/main" count="127" uniqueCount="84">
  <si>
    <t>Living Wage Executive Summary</t>
  </si>
  <si>
    <t>USD</t>
  </si>
  <si>
    <t>Canada</t>
  </si>
  <si>
    <t>GBP</t>
  </si>
  <si>
    <t>AUD</t>
  </si>
  <si>
    <t>Costa Rica</t>
  </si>
  <si>
    <t>Mexico</t>
  </si>
  <si>
    <t>Currency Conversion Rates (3/22)</t>
  </si>
  <si>
    <t>Local Currency to USD</t>
  </si>
  <si>
    <t>na</t>
  </si>
  <si>
    <t>Local Living Wage</t>
  </si>
  <si>
    <t>$USD</t>
  </si>
  <si>
    <t>Standard of Measurement:</t>
  </si>
  <si>
    <t>2 working parents, 2 kids (4 y/o, 12 y/o)</t>
  </si>
  <si>
    <t>Source</t>
  </si>
  <si>
    <t>Living Wage - MIT</t>
  </si>
  <si>
    <t>Ontario Policy Study</t>
  </si>
  <si>
    <t>Minimum Wage Income - UK</t>
  </si>
  <si>
    <t>UofMelbourn - iving Wage</t>
  </si>
  <si>
    <t>Wage Indicator</t>
  </si>
  <si>
    <t>Living Wage Calc</t>
  </si>
  <si>
    <t>Trading Economics</t>
  </si>
  <si>
    <t>https://www.expatistan.com/cost-of-living/country/costa-rica</t>
  </si>
  <si>
    <t>https://www.expatistan.com/cost-of-living/country/mexico</t>
  </si>
  <si>
    <t>Total Benefit &amp; Tax Burden Per Country</t>
  </si>
  <si>
    <t>Currency Calculator</t>
  </si>
  <si>
    <t>CAD</t>
  </si>
  <si>
    <t>UK</t>
  </si>
  <si>
    <t>Australia</t>
  </si>
  <si>
    <t xml:space="preserve">$1 USD </t>
  </si>
  <si>
    <t>Amount</t>
  </si>
  <si>
    <t>Percent</t>
  </si>
  <si>
    <t>Annual Salary (Local Currency)</t>
  </si>
  <si>
    <t>Monthly Base</t>
  </si>
  <si>
    <t>National Insurance</t>
  </si>
  <si>
    <t>Pension</t>
  </si>
  <si>
    <t>Private Pension</t>
  </si>
  <si>
    <t>Superannuation</t>
  </si>
  <si>
    <t>Private Health Insurance</t>
  </si>
  <si>
    <t xml:space="preserve">Employment Ins. </t>
  </si>
  <si>
    <t>Payroll Tax</t>
  </si>
  <si>
    <t>Provincial Tax</t>
  </si>
  <si>
    <t>PEO Currency Fee</t>
  </si>
  <si>
    <t>Total Benefits</t>
  </si>
  <si>
    <t>Total Cost</t>
  </si>
  <si>
    <t>Annualized Total Cost - Local Currency</t>
  </si>
  <si>
    <t>Annualized Total Cost USD</t>
  </si>
  <si>
    <t>Pay Frequency</t>
  </si>
  <si>
    <t>Every other Friday</t>
  </si>
  <si>
    <t>Last Working Day of Month</t>
  </si>
  <si>
    <t>Monthly</t>
  </si>
  <si>
    <t>Total Population</t>
  </si>
  <si>
    <t>Digtial Marketer Population</t>
  </si>
  <si>
    <r>
      <rPr>
        <rFont val="Arial"/>
        <b/>
        <color theme="1"/>
        <sz val="12.0"/>
      </rPr>
      <t xml:space="preserve">High level LinkedIn Search </t>
    </r>
    <r>
      <rPr>
        <rFont val="Arial"/>
        <b val="0"/>
        <i/>
        <color theme="1"/>
        <sz val="12.0"/>
      </rPr>
      <t xml:space="preserve">(Country + Marketing/Advertising) </t>
    </r>
  </si>
  <si>
    <t>United States</t>
  </si>
  <si>
    <t>332.4M</t>
  </si>
  <si>
    <t>2.3M</t>
  </si>
  <si>
    <t xml:space="preserve">Canada </t>
  </si>
  <si>
    <t>38.2M</t>
  </si>
  <si>
    <t>230k</t>
  </si>
  <si>
    <t>United Kingdom</t>
  </si>
  <si>
    <t>67.8M</t>
  </si>
  <si>
    <t xml:space="preserve">370k </t>
  </si>
  <si>
    <t>26.1M</t>
  </si>
  <si>
    <t>150k</t>
  </si>
  <si>
    <t xml:space="preserve">Costa Rica </t>
  </si>
  <si>
    <t>5.2M</t>
  </si>
  <si>
    <t>16k</t>
  </si>
  <si>
    <t>General HR Platforms</t>
  </si>
  <si>
    <t>US</t>
  </si>
  <si>
    <t>Payroll</t>
  </si>
  <si>
    <t>Zenefits</t>
  </si>
  <si>
    <t>Omnipresent</t>
  </si>
  <si>
    <t>Reimbursements</t>
  </si>
  <si>
    <t>Liquid</t>
  </si>
  <si>
    <t>Travel Scheduling</t>
  </si>
  <si>
    <t>TripActions</t>
  </si>
  <si>
    <t xml:space="preserve">PTO </t>
  </si>
  <si>
    <t>Holidays</t>
  </si>
  <si>
    <t>Org Chart</t>
  </si>
  <si>
    <t>Benefits</t>
  </si>
  <si>
    <t>Sequoia</t>
  </si>
  <si>
    <t>Retirement</t>
  </si>
  <si>
    <t>ForUsAll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</si>
</sst>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$]#,##0.00"/>
    <numFmt numFmtId="166" formatCode="[$£]#,##0.00"/>
    <numFmt numFmtId="167" formatCode="0.0%"/>
  </numFmts>
  <fonts count="27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0.0"/>
      <color rgb="FF202124"/>
      <name val="Arial"/>
      <scheme val="minor"/>
    </font>
    <font>
      <b/>
      <sz val="10.0"/>
      <color rgb="FF333333"/>
      <name val="Arial"/>
      <scheme val="minor"/>
    </font>
    <font>
      <i/>
      <color theme="1"/>
      <name val="Arial"/>
      <scheme val="minor"/>
    </font>
    <font>
      <u/>
      <color rgb="FF1155CC"/>
      <name val="Arial"/>
      <scheme val="minor"/>
    </font>
    <font>
      <u/>
      <sz val="8.0"/>
      <color rgb="FF1155CC"/>
    </font>
    <font>
      <u/>
      <color rgb="FF1155CC"/>
    </font>
    <font>
      <sz val="8.0"/>
      <color theme="1"/>
      <name val="Arial"/>
      <scheme val="minor"/>
    </font>
    <font>
      <u/>
      <sz val="8.0"/>
      <color rgb="FF1155CC"/>
    </font>
    <font>
      <u/>
      <sz val="8.0"/>
      <color rgb="FF1155CC"/>
      <name val="Arial"/>
      <scheme val="minor"/>
    </font>
    <font>
      <u/>
      <color rgb="FF0000FF"/>
    </font>
    <font>
      <b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1D1C1D"/>
      <name val="Slack-Lato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1.0"/>
      <color rgb="FF333333"/>
      <name val="Roboto"/>
    </font>
    <font>
      <sz val="12.0"/>
      <color theme="1"/>
      <name val="Arial"/>
      <scheme val="minor"/>
    </font>
    <font>
      <sz val="12.0"/>
      <color rgb="FF202124"/>
      <name val="Roboto"/>
    </font>
    <font>
      <sz val="12.0"/>
      <color rgb="FF212529"/>
      <name val="Arial"/>
    </font>
    <font>
      <sz val="12.0"/>
      <color rgb="FF212529"/>
      <name val="&quot;Montserrat Regular&quot;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AFAFA"/>
        <bgColor rgb="FFFAFAFA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4" fillId="0" fontId="4" numFmtId="164" xfId="0" applyAlignment="1" applyBorder="1" applyFont="1" applyNumberFormat="1">
      <alignment readingOrder="0"/>
    </xf>
    <xf borderId="4" fillId="0" fontId="4" numFmtId="165" xfId="0" applyAlignment="1" applyBorder="1" applyFont="1" applyNumberFormat="1">
      <alignment readingOrder="0"/>
    </xf>
    <xf borderId="4" fillId="0" fontId="4" numFmtId="166" xfId="0" applyAlignment="1" applyBorder="1" applyFont="1" applyNumberFormat="1">
      <alignment readingOrder="0"/>
    </xf>
    <xf borderId="4" fillId="3" fontId="5" numFmtId="0" xfId="0" applyAlignment="1" applyBorder="1" applyFill="1" applyFont="1">
      <alignment horizontal="right"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4" fontId="3" numFmtId="164" xfId="0" applyAlignment="1" applyBorder="1" applyFill="1" applyFont="1" applyNumberFormat="1">
      <alignment readingOrder="0"/>
    </xf>
    <xf borderId="4" fillId="4" fontId="3" numFmtId="165" xfId="0" applyAlignment="1" applyBorder="1" applyFont="1" applyNumberFormat="1">
      <alignment readingOrder="0"/>
    </xf>
    <xf borderId="4" fillId="4" fontId="3" numFmtId="166" xfId="0" applyAlignment="1" applyBorder="1" applyFont="1" applyNumberFormat="1">
      <alignment readingOrder="0"/>
    </xf>
    <xf borderId="4" fillId="4" fontId="6" numFmtId="3" xfId="0" applyAlignment="1" applyBorder="1" applyFont="1" applyNumberFormat="1">
      <alignment horizontal="right" readingOrder="0" shrinkToFit="0" vertical="bottom" wrapText="0"/>
    </xf>
    <xf borderId="4" fillId="0" fontId="4" numFmtId="164" xfId="0" applyBorder="1" applyFont="1" applyNumberFormat="1"/>
    <xf borderId="4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shrinkToFit="0" wrapText="1"/>
    </xf>
    <xf borderId="0" fillId="0" fontId="4" numFmtId="10" xfId="0" applyFont="1" applyNumberFormat="1"/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2" fillId="2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5" fontId="15" numFmtId="0" xfId="0" applyAlignment="1" applyBorder="1" applyFill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0" fillId="0" fontId="16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0" fontId="17" numFmtId="0" xfId="0" applyAlignment="1" applyFont="1">
      <alignment horizontal="right" readingOrder="0" vertical="bottom"/>
    </xf>
    <xf borderId="5" fillId="0" fontId="4" numFmtId="165" xfId="0" applyBorder="1" applyFont="1" applyNumberFormat="1"/>
    <xf borderId="6" fillId="0" fontId="4" numFmtId="0" xfId="0" applyBorder="1" applyFont="1"/>
    <xf borderId="5" fillId="0" fontId="4" numFmtId="166" xfId="0" applyBorder="1" applyFont="1" applyNumberFormat="1"/>
    <xf borderId="0" fillId="0" fontId="17" numFmtId="0" xfId="0" applyAlignment="1" applyFont="1">
      <alignment horizontal="right" shrinkToFit="0" vertical="bottom" wrapText="0"/>
    </xf>
    <xf borderId="5" fillId="0" fontId="4" numFmtId="0" xfId="0" applyBorder="1" applyFont="1"/>
    <xf borderId="6" fillId="0" fontId="4" numFmtId="10" xfId="0" applyAlignment="1" applyBorder="1" applyFont="1" applyNumberFormat="1">
      <alignment readingOrder="0"/>
    </xf>
    <xf borderId="6" fillId="0" fontId="4" numFmtId="167" xfId="0" applyAlignment="1" applyBorder="1" applyFont="1" applyNumberFormat="1">
      <alignment readingOrder="0"/>
    </xf>
    <xf borderId="0" fillId="0" fontId="17" numFmtId="0" xfId="0" applyAlignment="1" applyFont="1">
      <alignment horizontal="right" vertical="bottom"/>
    </xf>
    <xf borderId="5" fillId="0" fontId="4" numFmtId="164" xfId="0" applyAlignment="1" applyBorder="1" applyFont="1" applyNumberFormat="1">
      <alignment readingOrder="0"/>
    </xf>
    <xf borderId="6" fillId="0" fontId="4" numFmtId="10" xfId="0" applyBorder="1" applyFont="1" applyNumberFormat="1"/>
    <xf borderId="6" fillId="0" fontId="4" numFmtId="9" xfId="0" applyAlignment="1" applyBorder="1" applyFont="1" applyNumberFormat="1">
      <alignment readingOrder="0"/>
    </xf>
    <xf borderId="0" fillId="0" fontId="17" numFmtId="0" xfId="0" applyAlignment="1" applyFont="1">
      <alignment horizontal="right" readingOrder="0" shrinkToFit="0" vertical="bottom" wrapText="0"/>
    </xf>
    <xf borderId="5" fillId="0" fontId="4" numFmtId="0" xfId="0" applyAlignment="1" applyBorder="1" applyFont="1">
      <alignment readingOrder="0"/>
    </xf>
    <xf borderId="0" fillId="0" fontId="17" numFmtId="0" xfId="0" applyAlignment="1" applyFont="1">
      <alignment vertical="bottom"/>
    </xf>
    <xf borderId="5" fillId="0" fontId="4" numFmtId="164" xfId="0" applyBorder="1" applyFont="1" applyNumberFormat="1"/>
    <xf borderId="6" fillId="0" fontId="3" numFmtId="10" xfId="0" applyBorder="1" applyFont="1" applyNumberFormat="1"/>
    <xf borderId="7" fillId="0" fontId="4" numFmtId="165" xfId="0" applyBorder="1" applyFont="1" applyNumberFormat="1"/>
    <xf borderId="8" fillId="0" fontId="4" numFmtId="0" xfId="0" applyBorder="1" applyFont="1"/>
    <xf borderId="7" fillId="0" fontId="4" numFmtId="166" xfId="0" applyBorder="1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3" fontId="18" numFmtId="0" xfId="0" applyAlignment="1" applyFont="1">
      <alignment horizontal="left" readingOrder="0" shrinkToFit="0" wrapText="1"/>
    </xf>
    <xf borderId="4" fillId="0" fontId="19" numFmtId="0" xfId="0" applyBorder="1" applyFont="1"/>
    <xf borderId="4" fillId="2" fontId="20" numFmtId="0" xfId="0" applyAlignment="1" applyBorder="1" applyFont="1">
      <alignment horizontal="center" readingOrder="0" shrinkToFit="0" vertical="center" wrapText="1"/>
    </xf>
    <xf borderId="4" fillId="2" fontId="20" numFmtId="0" xfId="0" applyAlignment="1" applyBorder="1" applyFont="1">
      <alignment horizontal="center" readingOrder="0" shrinkToFit="0" wrapText="1"/>
    </xf>
    <xf borderId="4" fillId="2" fontId="21" numFmtId="0" xfId="0" applyAlignment="1" applyBorder="1" applyFont="1">
      <alignment readingOrder="0" shrinkToFit="0" wrapText="1"/>
    </xf>
    <xf borderId="4" fillId="0" fontId="19" numFmtId="0" xfId="0" applyAlignment="1" applyBorder="1" applyFont="1">
      <alignment readingOrder="0"/>
    </xf>
    <xf borderId="4" fillId="3" fontId="19" numFmtId="3" xfId="0" applyAlignment="1" applyBorder="1" applyFont="1" applyNumberFormat="1">
      <alignment horizontal="center" readingOrder="0"/>
    </xf>
    <xf borderId="4" fillId="6" fontId="22" numFmtId="3" xfId="0" applyAlignment="1" applyBorder="1" applyFill="1" applyFont="1" applyNumberFormat="1">
      <alignment horizontal="center" readingOrder="0"/>
    </xf>
    <xf borderId="4" fillId="0" fontId="23" numFmtId="0" xfId="0" applyAlignment="1" applyBorder="1" applyFont="1">
      <alignment horizontal="center" readingOrder="0"/>
    </xf>
    <xf borderId="4" fillId="0" fontId="19" numFmtId="3" xfId="0" applyAlignment="1" applyBorder="1" applyFont="1" applyNumberFormat="1">
      <alignment horizontal="center" readingOrder="0"/>
    </xf>
    <xf borderId="4" fillId="3" fontId="24" numFmtId="3" xfId="0" applyAlignment="1" applyBorder="1" applyFont="1" applyNumberForma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0" fontId="25" numFmtId="3" xfId="0" applyAlignment="1" applyBorder="1" applyFont="1" applyNumberFormat="1">
      <alignment horizontal="center" readingOrder="0" vertical="top"/>
    </xf>
    <xf borderId="4" fillId="3" fontId="26" numFmtId="0" xfId="0" applyAlignment="1" applyBorder="1" applyFon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vingwage.mit.edu/" TargetMode="External"/><Relationship Id="rId2" Type="http://schemas.openxmlformats.org/officeDocument/2006/relationships/hyperlink" Target="https://policyalternatives.ca/sites/default/files/uploads/publications/Ontario_Office_Pubs/2008/A_Living_Wage_for_Toronto.pdf" TargetMode="External"/><Relationship Id="rId3" Type="http://schemas.openxmlformats.org/officeDocument/2006/relationships/hyperlink" Target="https://www.minimumincome.org.uk/step1/" TargetMode="External"/><Relationship Id="rId4" Type="http://schemas.openxmlformats.org/officeDocument/2006/relationships/hyperlink" Target="https://fbe.unimelb.edu.au/newsroom/explainer-what-exactly-is-a-living-wage" TargetMode="External"/><Relationship Id="rId11" Type="http://schemas.openxmlformats.org/officeDocument/2006/relationships/hyperlink" Target="https://www.expatistan.com/cost-of-living/country/mexico" TargetMode="External"/><Relationship Id="rId10" Type="http://schemas.openxmlformats.org/officeDocument/2006/relationships/hyperlink" Target="https://www.expatistan.com/cost-of-living/country/costa-ric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tradingeconomics.com/mexico/living-wage-individual" TargetMode="External"/><Relationship Id="rId5" Type="http://schemas.openxmlformats.org/officeDocument/2006/relationships/hyperlink" Target="https://wageindicator.org/salary/living-wage/archive-no-index/costa-rica-living-wage-series-september-2019" TargetMode="External"/><Relationship Id="rId6" Type="http://schemas.openxmlformats.org/officeDocument/2006/relationships/hyperlink" Target="https://wageindicator.org/salary/living-wage/archive-no-index/mexico-living-wage-series-september-2019" TargetMode="External"/><Relationship Id="rId7" Type="http://schemas.openxmlformats.org/officeDocument/2006/relationships/hyperlink" Target="https://www.livingwage.org.uk/calculation" TargetMode="External"/><Relationship Id="rId8" Type="http://schemas.openxmlformats.org/officeDocument/2006/relationships/hyperlink" Target="https://tradingeconomics.com/country-list/wages?continent=americ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4.75"/>
    <col customWidth="1" min="4" max="4" width="11.38"/>
  </cols>
  <sheetData>
    <row r="1">
      <c r="B1" s="1" t="s">
        <v>0</v>
      </c>
      <c r="C1" s="2"/>
      <c r="D1" s="2"/>
      <c r="E1" s="2"/>
      <c r="F1" s="2"/>
      <c r="G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>
      <c r="A3" s="6" t="s">
        <v>7</v>
      </c>
      <c r="B3" s="7">
        <v>1.0</v>
      </c>
      <c r="C3" s="8">
        <v>1.2511466</v>
      </c>
      <c r="D3" s="9">
        <v>0.75707513</v>
      </c>
      <c r="E3" s="8">
        <v>1.3299554</v>
      </c>
      <c r="F3" s="10">
        <v>0.0015</v>
      </c>
      <c r="G3" s="11">
        <v>0.0494685</v>
      </c>
    </row>
    <row r="4">
      <c r="A4" s="6" t="s">
        <v>8</v>
      </c>
      <c r="B4" s="7" t="s">
        <v>9</v>
      </c>
      <c r="C4" s="8">
        <v>0.799184</v>
      </c>
      <c r="D4" s="9">
        <v>1.32105</v>
      </c>
      <c r="E4" s="8">
        <v>0.752089</v>
      </c>
      <c r="F4" s="12"/>
      <c r="G4" s="12"/>
    </row>
    <row r="5">
      <c r="A5" s="6" t="s">
        <v>10</v>
      </c>
      <c r="B5" s="13">
        <v>70000.0</v>
      </c>
      <c r="C5" s="14">
        <v>60000.0</v>
      </c>
      <c r="D5" s="15">
        <v>40000.0</v>
      </c>
      <c r="E5" s="14">
        <v>65000.0</v>
      </c>
      <c r="F5" s="16">
        <v>1.8141336E7</v>
      </c>
      <c r="G5" s="16">
        <v>600000.0</v>
      </c>
    </row>
    <row r="6">
      <c r="A6" s="6" t="s">
        <v>11</v>
      </c>
      <c r="B6" s="7">
        <f>B5</f>
        <v>70000</v>
      </c>
      <c r="C6" s="17">
        <f t="shared" ref="C6:E6" si="1">C5*C4</f>
        <v>47951.04</v>
      </c>
      <c r="D6" s="17">
        <f t="shared" si="1"/>
        <v>52842</v>
      </c>
      <c r="E6" s="17">
        <f t="shared" si="1"/>
        <v>48885.785</v>
      </c>
      <c r="F6" s="18">
        <v>26574.74</v>
      </c>
      <c r="G6" s="18">
        <f>G3*G5</f>
        <v>29681.1</v>
      </c>
    </row>
    <row r="7">
      <c r="A7" s="19"/>
      <c r="C7" s="20">
        <f t="shared" ref="C7:G7" si="2">($B$5-C6)/$B$5</f>
        <v>0.3149851429</v>
      </c>
      <c r="D7" s="20">
        <f t="shared" si="2"/>
        <v>0.2451142857</v>
      </c>
      <c r="E7" s="20">
        <f t="shared" si="2"/>
        <v>0.3016316429</v>
      </c>
      <c r="F7" s="20">
        <f t="shared" si="2"/>
        <v>0.6203608571</v>
      </c>
      <c r="G7" s="20">
        <f t="shared" si="2"/>
        <v>0.5759842857</v>
      </c>
    </row>
    <row r="8">
      <c r="A8" s="21" t="s">
        <v>12</v>
      </c>
      <c r="B8" s="21" t="s">
        <v>13</v>
      </c>
    </row>
    <row r="9">
      <c r="C9" s="22"/>
      <c r="D9" s="22"/>
    </row>
    <row r="10">
      <c r="A10" s="23" t="s">
        <v>14</v>
      </c>
      <c r="B10" s="24" t="s">
        <v>15</v>
      </c>
      <c r="C10" s="24" t="s">
        <v>16</v>
      </c>
      <c r="D10" s="24" t="s">
        <v>17</v>
      </c>
      <c r="E10" s="24" t="s">
        <v>18</v>
      </c>
      <c r="F10" s="25" t="s">
        <v>19</v>
      </c>
      <c r="G10" s="25" t="s">
        <v>19</v>
      </c>
    </row>
    <row r="11">
      <c r="B11" s="26"/>
      <c r="C11" s="26"/>
      <c r="D11" s="27" t="s">
        <v>20</v>
      </c>
      <c r="E11" s="28"/>
      <c r="F11" s="25" t="s">
        <v>21</v>
      </c>
      <c r="G11" s="25" t="s">
        <v>21</v>
      </c>
    </row>
    <row r="12">
      <c r="F12" s="29" t="s">
        <v>22</v>
      </c>
      <c r="G12" s="29" t="s">
        <v>23</v>
      </c>
    </row>
  </sheetData>
  <mergeCells count="2">
    <mergeCell ref="B1:G1"/>
    <mergeCell ref="B8:E8"/>
  </mergeCells>
  <hyperlinks>
    <hyperlink r:id="rId1" ref="B10"/>
    <hyperlink r:id="rId2" ref="C10"/>
    <hyperlink r:id="rId3" ref="D10"/>
    <hyperlink r:id="rId4" ref="E10"/>
    <hyperlink r:id="rId5" ref="F10"/>
    <hyperlink r:id="rId6" ref="G10"/>
    <hyperlink r:id="rId7" ref="D11"/>
    <hyperlink r:id="rId8" ref="F11"/>
    <hyperlink r:id="rId9" ref="G11"/>
    <hyperlink r:id="rId10" ref="F12"/>
    <hyperlink r:id="rId11" ref="G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11" max="11" width="15.75"/>
  </cols>
  <sheetData>
    <row r="1">
      <c r="B1" s="30" t="s">
        <v>24</v>
      </c>
      <c r="C1" s="2"/>
      <c r="D1" s="2"/>
      <c r="E1" s="2"/>
      <c r="F1" s="2"/>
      <c r="G1" s="2"/>
      <c r="K1" s="23" t="s">
        <v>25</v>
      </c>
      <c r="L1" s="31" t="s">
        <v>26</v>
      </c>
      <c r="M1" s="31" t="s">
        <v>3</v>
      </c>
      <c r="N1" s="31" t="s">
        <v>4</v>
      </c>
    </row>
    <row r="2">
      <c r="B2" s="32" t="s">
        <v>2</v>
      </c>
      <c r="C2" s="3"/>
      <c r="D2" s="33" t="s">
        <v>27</v>
      </c>
      <c r="E2" s="3"/>
      <c r="F2" s="33" t="s">
        <v>28</v>
      </c>
      <c r="G2" s="3"/>
      <c r="K2" s="23" t="s">
        <v>29</v>
      </c>
      <c r="L2" s="23">
        <v>1.26</v>
      </c>
      <c r="M2" s="23">
        <v>0.77</v>
      </c>
      <c r="N2" s="23">
        <v>1.36</v>
      </c>
    </row>
    <row r="3">
      <c r="A3" s="34"/>
      <c r="B3" s="35" t="s">
        <v>30</v>
      </c>
      <c r="C3" s="36" t="s">
        <v>31</v>
      </c>
      <c r="D3" s="35" t="s">
        <v>30</v>
      </c>
      <c r="E3" s="36" t="s">
        <v>31</v>
      </c>
      <c r="F3" s="35" t="s">
        <v>30</v>
      </c>
      <c r="G3" s="36" t="s">
        <v>31</v>
      </c>
    </row>
    <row r="4">
      <c r="A4" s="37" t="s">
        <v>32</v>
      </c>
      <c r="B4" s="38">
        <f>'Living Wage Executive Summary'!C5</f>
        <v>60000</v>
      </c>
      <c r="C4" s="39"/>
      <c r="D4" s="40">
        <f>'Living Wage Executive Summary'!D5</f>
        <v>40000</v>
      </c>
      <c r="E4" s="39"/>
      <c r="F4" s="38">
        <f>'Living Wage Executive Summary'!E5</f>
        <v>65000</v>
      </c>
      <c r="G4" s="39"/>
      <c r="L4" s="23" t="s">
        <v>1</v>
      </c>
    </row>
    <row r="5">
      <c r="A5" s="37" t="s">
        <v>33</v>
      </c>
      <c r="B5" s="38">
        <f>'Living Wage Executive Summary'!C5/12</f>
        <v>5000</v>
      </c>
      <c r="C5" s="39"/>
      <c r="D5" s="40">
        <f>'Living Wage Executive Summary'!D5/12</f>
        <v>3333.333333</v>
      </c>
      <c r="E5" s="39"/>
      <c r="F5" s="38">
        <f>'Living Wage Executive Summary'!E5/12</f>
        <v>5416.666667</v>
      </c>
      <c r="G5" s="39"/>
      <c r="K5" s="23" t="s">
        <v>26</v>
      </c>
      <c r="L5" s="23">
        <v>0.79</v>
      </c>
    </row>
    <row r="6">
      <c r="A6" s="41" t="s">
        <v>34</v>
      </c>
      <c r="B6" s="42"/>
      <c r="C6" s="39"/>
      <c r="D6" s="40">
        <f t="shared" ref="D6:D8" si="1">E6*$D$5</f>
        <v>460</v>
      </c>
      <c r="E6" s="43">
        <v>0.138</v>
      </c>
      <c r="F6" s="38">
        <f t="shared" ref="F6:F7" si="2">G6*$F$5</f>
        <v>54.16666667</v>
      </c>
      <c r="G6" s="44">
        <v>0.01</v>
      </c>
      <c r="K6" s="23" t="s">
        <v>3</v>
      </c>
      <c r="L6" s="23">
        <v>1.3</v>
      </c>
    </row>
    <row r="7">
      <c r="A7" s="45" t="s">
        <v>35</v>
      </c>
      <c r="B7" s="46">
        <v>210.53</v>
      </c>
      <c r="C7" s="47">
        <f t="shared" ref="C7:C8" si="3">B7/$B$5</f>
        <v>0.042106</v>
      </c>
      <c r="D7" s="40">
        <f t="shared" si="1"/>
        <v>100</v>
      </c>
      <c r="E7" s="43">
        <v>0.03</v>
      </c>
      <c r="F7" s="38">
        <f t="shared" si="2"/>
        <v>541.6666667</v>
      </c>
      <c r="G7" s="48">
        <v>0.1</v>
      </c>
      <c r="K7" s="23" t="s">
        <v>4</v>
      </c>
      <c r="L7" s="23">
        <v>0.73</v>
      </c>
    </row>
    <row r="8">
      <c r="A8" s="45" t="s">
        <v>36</v>
      </c>
      <c r="B8" s="46">
        <v>100.0</v>
      </c>
      <c r="C8" s="47">
        <f t="shared" si="3"/>
        <v>0.02</v>
      </c>
      <c r="D8" s="40">
        <f t="shared" si="1"/>
        <v>133.3333333</v>
      </c>
      <c r="E8" s="43">
        <v>0.04</v>
      </c>
      <c r="F8" s="42"/>
      <c r="G8" s="39"/>
    </row>
    <row r="9">
      <c r="A9" s="49" t="s">
        <v>37</v>
      </c>
      <c r="B9" s="50"/>
      <c r="C9" s="47"/>
      <c r="D9" s="50"/>
      <c r="E9" s="39"/>
      <c r="F9" s="38">
        <f>G9*$F$5</f>
        <v>162.5</v>
      </c>
      <c r="G9" s="43">
        <v>0.03</v>
      </c>
    </row>
    <row r="10">
      <c r="A10" s="49" t="s">
        <v>38</v>
      </c>
      <c r="B10" s="46">
        <v>269.64</v>
      </c>
      <c r="C10" s="47">
        <f t="shared" ref="C10:C11" si="4">B10/$B$5</f>
        <v>0.053928</v>
      </c>
      <c r="D10" s="40">
        <f t="shared" ref="D10:D11" si="5">E10*$D$5</f>
        <v>223.3333333</v>
      </c>
      <c r="E10" s="43">
        <v>0.067</v>
      </c>
      <c r="F10" s="42"/>
      <c r="G10" s="39"/>
    </row>
    <row r="11">
      <c r="A11" s="37" t="s">
        <v>39</v>
      </c>
      <c r="B11" s="46">
        <v>79.0</v>
      </c>
      <c r="C11" s="47">
        <f t="shared" si="4"/>
        <v>0.0158</v>
      </c>
      <c r="D11" s="40">
        <f t="shared" si="5"/>
        <v>0</v>
      </c>
      <c r="E11" s="39"/>
      <c r="F11" s="42"/>
      <c r="G11" s="39"/>
    </row>
    <row r="12">
      <c r="A12" s="49" t="s">
        <v>40</v>
      </c>
      <c r="B12" s="46"/>
      <c r="C12" s="47"/>
      <c r="D12" s="42"/>
      <c r="E12" s="39"/>
      <c r="F12" s="38">
        <f>G12*$F$5</f>
        <v>295.2083333</v>
      </c>
      <c r="G12" s="43">
        <v>0.0545</v>
      </c>
    </row>
    <row r="13">
      <c r="A13" s="49" t="s">
        <v>41</v>
      </c>
      <c r="B13" s="46">
        <v>97.5</v>
      </c>
      <c r="C13" s="47">
        <f t="shared" ref="C13:C14" si="6">B13/$B$5</f>
        <v>0.0195</v>
      </c>
      <c r="D13" s="40">
        <f t="shared" ref="D13:D14" si="7">E13*$D$5</f>
        <v>0</v>
      </c>
      <c r="E13" s="39"/>
      <c r="F13" s="42"/>
      <c r="G13" s="39"/>
    </row>
    <row r="14">
      <c r="A14" s="41" t="s">
        <v>42</v>
      </c>
      <c r="B14" s="46">
        <v>115.03</v>
      </c>
      <c r="C14" s="47">
        <f t="shared" si="6"/>
        <v>0.023006</v>
      </c>
      <c r="D14" s="40">
        <f t="shared" si="7"/>
        <v>86.66666667</v>
      </c>
      <c r="E14" s="43">
        <v>0.026</v>
      </c>
      <c r="F14" s="38">
        <f>G14*$F$5</f>
        <v>130</v>
      </c>
      <c r="G14" s="43">
        <v>0.024</v>
      </c>
    </row>
    <row r="15">
      <c r="A15" s="51"/>
      <c r="B15" s="42"/>
      <c r="C15" s="39"/>
      <c r="D15" s="42"/>
      <c r="E15" s="39"/>
      <c r="F15" s="42"/>
      <c r="G15" s="39"/>
    </row>
    <row r="16">
      <c r="A16" s="45" t="s">
        <v>43</v>
      </c>
      <c r="B16" s="52">
        <f>SUM(B6:B15)</f>
        <v>871.7</v>
      </c>
      <c r="C16" s="53">
        <f>SUM(C7:C14)</f>
        <v>0.17434</v>
      </c>
      <c r="D16" s="40">
        <f>SUM(D6:D15)</f>
        <v>1003.333333</v>
      </c>
      <c r="E16" s="53">
        <f>SUM(E6:E14)</f>
        <v>0.301</v>
      </c>
      <c r="F16" s="38">
        <f>SUM(F6:F15)</f>
        <v>1183.541667</v>
      </c>
      <c r="G16" s="53">
        <f>SUM(G6:G14)</f>
        <v>0.2185</v>
      </c>
    </row>
    <row r="17">
      <c r="A17" s="45" t="s">
        <v>44</v>
      </c>
      <c r="B17" s="54">
        <f>SUM(B5:B15)</f>
        <v>5871.7</v>
      </c>
      <c r="C17" s="55"/>
      <c r="D17" s="56">
        <f>SUM(D5:D15)</f>
        <v>4336.666667</v>
      </c>
      <c r="E17" s="55"/>
      <c r="F17" s="54">
        <f>SUM(F5:F15)</f>
        <v>6600.208333</v>
      </c>
      <c r="G17" s="55"/>
    </row>
    <row r="18">
      <c r="A18" s="31" t="s">
        <v>45</v>
      </c>
      <c r="B18" s="57">
        <f>B17*12</f>
        <v>70460.4</v>
      </c>
      <c r="D18" s="58">
        <f>D17*12</f>
        <v>52040</v>
      </c>
      <c r="E18" s="20"/>
      <c r="F18" s="57">
        <f>F17*12</f>
        <v>79202.5</v>
      </c>
    </row>
    <row r="19">
      <c r="A19" s="31" t="s">
        <v>46</v>
      </c>
      <c r="B19" s="59">
        <f>B18*L5</f>
        <v>55663.716</v>
      </c>
      <c r="C19" s="60"/>
      <c r="D19" s="61">
        <f>D18*L6</f>
        <v>67652</v>
      </c>
      <c r="E19" s="60"/>
      <c r="F19" s="57">
        <f>F18*L7</f>
        <v>57817.825</v>
      </c>
    </row>
    <row r="20">
      <c r="A20" s="31"/>
      <c r="B20" s="23"/>
      <c r="D20" s="23"/>
    </row>
    <row r="21">
      <c r="A21" s="31" t="s">
        <v>47</v>
      </c>
      <c r="B21" s="23" t="s">
        <v>48</v>
      </c>
      <c r="D21" s="23" t="s">
        <v>49</v>
      </c>
      <c r="F21" s="23" t="s">
        <v>50</v>
      </c>
    </row>
    <row r="22">
      <c r="A22" s="62"/>
    </row>
  </sheetData>
  <mergeCells count="4">
    <mergeCell ref="B1:G1"/>
    <mergeCell ref="B2:C2"/>
    <mergeCell ref="D2:E2"/>
    <mergeCell ref="F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21.88"/>
    <col customWidth="1" min="4" max="4" width="24.63"/>
  </cols>
  <sheetData>
    <row r="1">
      <c r="A1" s="63"/>
      <c r="B1" s="64" t="s">
        <v>51</v>
      </c>
      <c r="C1" s="65" t="s">
        <v>52</v>
      </c>
      <c r="D1" s="66" t="s">
        <v>53</v>
      </c>
    </row>
    <row r="2">
      <c r="A2" s="67" t="s">
        <v>54</v>
      </c>
      <c r="B2" s="68" t="s">
        <v>55</v>
      </c>
      <c r="C2" s="69">
        <v>256171.0</v>
      </c>
      <c r="D2" s="70" t="s">
        <v>56</v>
      </c>
    </row>
    <row r="3">
      <c r="A3" s="67" t="s">
        <v>57</v>
      </c>
      <c r="B3" s="71" t="s">
        <v>58</v>
      </c>
      <c r="C3" s="72">
        <v>29951.0</v>
      </c>
      <c r="D3" s="70" t="s">
        <v>59</v>
      </c>
    </row>
    <row r="4">
      <c r="A4" s="67" t="s">
        <v>60</v>
      </c>
      <c r="B4" s="73" t="s">
        <v>61</v>
      </c>
      <c r="C4" s="71">
        <v>22000.0</v>
      </c>
      <c r="D4" s="70" t="s">
        <v>62</v>
      </c>
    </row>
    <row r="5">
      <c r="A5" s="67" t="s">
        <v>28</v>
      </c>
      <c r="B5" s="73" t="s">
        <v>63</v>
      </c>
      <c r="C5" s="74">
        <v>36000.0</v>
      </c>
      <c r="D5" s="70" t="s">
        <v>64</v>
      </c>
    </row>
    <row r="6">
      <c r="A6" s="67" t="s">
        <v>65</v>
      </c>
      <c r="B6" s="73" t="s">
        <v>66</v>
      </c>
      <c r="C6" s="75"/>
      <c r="D6" s="70" t="s">
        <v>67</v>
      </c>
    </row>
    <row r="7">
      <c r="B7" s="7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68</v>
      </c>
      <c r="B1" s="2"/>
      <c r="C1" s="2"/>
      <c r="D1" s="2"/>
      <c r="E1" s="3"/>
    </row>
    <row r="2">
      <c r="A2" s="12"/>
      <c r="B2" s="5" t="s">
        <v>69</v>
      </c>
      <c r="C2" s="5" t="s">
        <v>2</v>
      </c>
      <c r="D2" s="5" t="s">
        <v>27</v>
      </c>
      <c r="E2" s="5" t="s">
        <v>28</v>
      </c>
    </row>
    <row r="3">
      <c r="A3" s="5" t="s">
        <v>70</v>
      </c>
      <c r="B3" s="11" t="s">
        <v>71</v>
      </c>
      <c r="C3" s="11" t="s">
        <v>72</v>
      </c>
      <c r="D3" s="11" t="s">
        <v>72</v>
      </c>
      <c r="E3" s="11" t="s">
        <v>72</v>
      </c>
    </row>
    <row r="4">
      <c r="A4" s="5" t="s">
        <v>73</v>
      </c>
      <c r="B4" s="11" t="s">
        <v>74</v>
      </c>
      <c r="C4" s="11" t="s">
        <v>72</v>
      </c>
      <c r="D4" s="11" t="s">
        <v>72</v>
      </c>
      <c r="E4" s="11" t="s">
        <v>72</v>
      </c>
    </row>
    <row r="5">
      <c r="A5" s="5" t="s">
        <v>75</v>
      </c>
      <c r="B5" s="11" t="s">
        <v>76</v>
      </c>
      <c r="C5" s="11" t="s">
        <v>76</v>
      </c>
      <c r="D5" s="11" t="s">
        <v>76</v>
      </c>
      <c r="E5" s="11" t="s">
        <v>76</v>
      </c>
    </row>
    <row r="6">
      <c r="A6" s="5" t="s">
        <v>77</v>
      </c>
      <c r="B6" s="11" t="s">
        <v>71</v>
      </c>
      <c r="C6" s="11" t="s">
        <v>71</v>
      </c>
      <c r="D6" s="11" t="s">
        <v>71</v>
      </c>
      <c r="E6" s="11" t="s">
        <v>71</v>
      </c>
    </row>
    <row r="7">
      <c r="A7" s="5" t="s">
        <v>78</v>
      </c>
      <c r="B7" s="11" t="s">
        <v>71</v>
      </c>
      <c r="C7" s="11" t="s">
        <v>71</v>
      </c>
      <c r="D7" s="11" t="s">
        <v>71</v>
      </c>
      <c r="E7" s="11" t="s">
        <v>71</v>
      </c>
    </row>
    <row r="8">
      <c r="A8" s="5" t="s">
        <v>79</v>
      </c>
      <c r="B8" s="11" t="s">
        <v>71</v>
      </c>
      <c r="C8" s="11" t="s">
        <v>71</v>
      </c>
      <c r="D8" s="11" t="s">
        <v>71</v>
      </c>
      <c r="E8" s="11" t="s">
        <v>71</v>
      </c>
    </row>
    <row r="9">
      <c r="A9" s="5" t="s">
        <v>80</v>
      </c>
      <c r="B9" s="11" t="s">
        <v>81</v>
      </c>
      <c r="C9" s="11" t="s">
        <v>72</v>
      </c>
      <c r="D9" s="11" t="s">
        <v>72</v>
      </c>
      <c r="E9" s="11" t="s">
        <v>72</v>
      </c>
    </row>
    <row r="10">
      <c r="A10" s="5" t="s">
        <v>82</v>
      </c>
      <c r="B10" s="11" t="s">
        <v>83</v>
      </c>
      <c r="C10" s="11" t="s">
        <v>72</v>
      </c>
      <c r="D10" s="11" t="s">
        <v>72</v>
      </c>
      <c r="E10" s="11" t="s">
        <v>72</v>
      </c>
    </row>
  </sheetData>
  <mergeCells count="1">
    <mergeCell ref="A1:E1"/>
  </mergeCells>
  <drawing r:id="rId1"/>
</worksheet>
</file>